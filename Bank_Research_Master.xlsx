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A&amp;F_Projects\BankResearch\"/>
    </mc:Choice>
  </mc:AlternateContent>
  <xr:revisionPtr revIDLastSave="0" documentId="13_ncr:1_{A83E647E-472E-4934-B1C5-D37677E7929F}" xr6:coauthVersionLast="47" xr6:coauthVersionMax="47" xr10:uidLastSave="{00000000-0000-0000-0000-000000000000}"/>
  <bookViews>
    <workbookView xWindow="-110" yWindow="-110" windowWidth="19420" windowHeight="10300" activeTab="1" xr2:uid="{54B8FE6D-E34D-4356-B5A8-1F819FC5CE59}"/>
  </bookViews>
  <sheets>
    <sheet name="Raw Data" sheetId="1" r:id="rId1"/>
    <sheet name="Ratios" sheetId="2" r:id="rId2"/>
    <sheet name="Descriptive Statistics" sheetId="4" r:id="rId3"/>
    <sheet name="Trend Chart" sheetId="12" r:id="rId4"/>
    <sheet name="Comparison Charts" sheetId="14" r:id="rId5"/>
    <sheet name="Distribution Charts" sheetId="17" r:id="rId6"/>
    <sheet name="Comparitive Analysis" sheetId="18" r:id="rId7"/>
    <sheet name="Staff Comparison" sheetId="19" r:id="rId8"/>
    <sheet name="Variable Dictionary" sheetId="7" r:id="rId9"/>
    <sheet name="Literature" sheetId="6" r:id="rId10"/>
    <sheet name="Notes" sheetId="5" r:id="rId11"/>
  </sheets>
  <definedNames>
    <definedName name="_xlchart.v1.0" hidden="1">Ratios!$B$2:$B$37</definedName>
    <definedName name="_xlchart.v1.1" hidden="1">Ratios!$D$1</definedName>
    <definedName name="_xlchart.v1.2" hidden="1">Ratios!$D$2:$D$37</definedName>
    <definedName name="_xlchart.v1.3" hidden="1">Ratios!$B$2:$B$37</definedName>
    <definedName name="_xlchart.v1.4" hidden="1">Ratios!$F$1</definedName>
    <definedName name="_xlchart.v1.5" hidden="1">Ratios!$F$2:$F$37</definedName>
    <definedName name="Slicer_Bank_Type">#N/A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6" i="14" l="1"/>
  <c r="C16" i="14"/>
  <c r="B17" i="14"/>
  <c r="C17" i="14"/>
  <c r="B18" i="14"/>
  <c r="C18" i="14"/>
  <c r="B19" i="14"/>
  <c r="C19" i="14"/>
  <c r="B20" i="14"/>
  <c r="C20" i="14"/>
  <c r="B21" i="14"/>
  <c r="C21" i="14"/>
  <c r="F3" i="14"/>
  <c r="G3" i="14"/>
  <c r="F4" i="14"/>
  <c r="G4" i="14"/>
  <c r="F5" i="14"/>
  <c r="G5" i="14"/>
  <c r="F6" i="14"/>
  <c r="G6" i="14"/>
  <c r="F7" i="14"/>
  <c r="G7" i="14"/>
  <c r="F8" i="14"/>
  <c r="G8" i="14"/>
  <c r="B3" i="14"/>
  <c r="C3" i="14"/>
  <c r="B4" i="14"/>
  <c r="C4" i="14"/>
  <c r="B5" i="14"/>
  <c r="C5" i="14"/>
  <c r="B6" i="14"/>
  <c r="C6" i="14"/>
  <c r="B7" i="14"/>
  <c r="C7" i="14"/>
  <c r="B8" i="14"/>
  <c r="C8" i="14"/>
  <c r="G18" i="2"/>
  <c r="B20" i="2"/>
  <c r="C20"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G2" i="2"/>
  <c r="G3" i="2"/>
  <c r="G4" i="2"/>
  <c r="G5" i="2"/>
  <c r="G6" i="2"/>
  <c r="G7" i="2"/>
  <c r="G8" i="2"/>
  <c r="G9" i="2"/>
  <c r="G10" i="2"/>
  <c r="G11" i="2"/>
  <c r="G12" i="2"/>
  <c r="G13" i="2"/>
  <c r="G14" i="2"/>
  <c r="G15" i="2"/>
  <c r="G16" i="2"/>
  <c r="G17" i="2"/>
  <c r="G19" i="2"/>
  <c r="G20" i="2"/>
  <c r="G21" i="2"/>
  <c r="G22" i="2"/>
  <c r="G23" i="2"/>
  <c r="G24" i="2"/>
  <c r="G25" i="2"/>
  <c r="G26" i="2"/>
  <c r="G27" i="2"/>
  <c r="G28" i="2"/>
  <c r="G29" i="2"/>
  <c r="G30" i="2"/>
  <c r="G31" i="2"/>
  <c r="G32" i="2"/>
  <c r="G33" i="2"/>
  <c r="G34" i="2"/>
  <c r="G35" i="2"/>
  <c r="G36" i="2"/>
  <c r="G3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D2" i="2"/>
  <c r="B21" i="4" s="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C3" i="2"/>
  <c r="C4" i="2"/>
  <c r="C5" i="2"/>
  <c r="C6" i="2"/>
  <c r="C7" i="2"/>
  <c r="C8" i="2"/>
  <c r="C9" i="2"/>
  <c r="C10" i="2"/>
  <c r="C11" i="2"/>
  <c r="C12" i="2"/>
  <c r="C13" i="2"/>
  <c r="C14" i="2"/>
  <c r="C15" i="2"/>
  <c r="C16" i="2"/>
  <c r="C17" i="2"/>
  <c r="C18" i="2"/>
  <c r="C19" i="2"/>
  <c r="C21" i="2"/>
  <c r="C22" i="2"/>
  <c r="C23" i="2"/>
  <c r="C24" i="2"/>
  <c r="C25" i="2"/>
  <c r="C26" i="2"/>
  <c r="C27" i="2"/>
  <c r="C28" i="2"/>
  <c r="C29" i="2"/>
  <c r="C30" i="2"/>
  <c r="C31" i="2"/>
  <c r="C32" i="2"/>
  <c r="C33" i="2"/>
  <c r="C34" i="2"/>
  <c r="C35" i="2"/>
  <c r="C36" i="2"/>
  <c r="C37" i="2"/>
  <c r="C2" i="2"/>
  <c r="B3" i="2"/>
  <c r="B4" i="2"/>
  <c r="B5" i="2"/>
  <c r="B6" i="2"/>
  <c r="B7" i="2"/>
  <c r="B8" i="2"/>
  <c r="B9" i="2"/>
  <c r="B10" i="2"/>
  <c r="B11" i="2"/>
  <c r="B12" i="2"/>
  <c r="B13" i="2"/>
  <c r="B14" i="2"/>
  <c r="B15" i="2"/>
  <c r="B16" i="2"/>
  <c r="B17" i="2"/>
  <c r="B18" i="2"/>
  <c r="B19" i="2"/>
  <c r="B21" i="2"/>
  <c r="B22" i="2"/>
  <c r="B23" i="2"/>
  <c r="B24" i="2"/>
  <c r="B25" i="2"/>
  <c r="B26" i="2"/>
  <c r="B27" i="2"/>
  <c r="B28" i="2"/>
  <c r="B29" i="2"/>
  <c r="B30" i="2"/>
  <c r="B31" i="2"/>
  <c r="B32" i="2"/>
  <c r="B33" i="2"/>
  <c r="B34" i="2"/>
  <c r="B35" i="2"/>
  <c r="B36" i="2"/>
  <c r="B37"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2" i="2"/>
  <c r="G6" i="18"/>
  <c r="F6" i="18"/>
  <c r="E6" i="18"/>
  <c r="D6" i="18"/>
  <c r="C6" i="18"/>
  <c r="B6" i="18"/>
  <c r="D18" i="4" l="1"/>
  <c r="E19" i="4"/>
  <c r="F20" i="4"/>
  <c r="H22" i="4"/>
  <c r="D20" i="4"/>
  <c r="F19" i="4"/>
  <c r="D19" i="4"/>
  <c r="F18" i="4"/>
  <c r="G18" i="4"/>
  <c r="G19" i="4"/>
  <c r="C19" i="4"/>
  <c r="C18" i="4"/>
  <c r="B20" i="4"/>
  <c r="H21" i="4"/>
  <c r="G22" i="4"/>
  <c r="E18" i="4"/>
  <c r="B19" i="4"/>
  <c r="H20" i="4"/>
  <c r="G21" i="4"/>
  <c r="F22" i="4"/>
  <c r="B18" i="4"/>
  <c r="H19" i="4"/>
  <c r="G20" i="4"/>
  <c r="F21" i="4"/>
  <c r="E22" i="4"/>
  <c r="H18" i="4"/>
  <c r="E21" i="4"/>
  <c r="D22" i="4"/>
  <c r="E20" i="4"/>
  <c r="D21" i="4"/>
  <c r="C22" i="4"/>
  <c r="C21" i="4"/>
  <c r="C20" i="4"/>
  <c r="B22" i="4"/>
  <c r="D10" i="4"/>
  <c r="C10" i="4"/>
  <c r="E3" i="4"/>
  <c r="G14" i="4"/>
  <c r="F3" i="4"/>
  <c r="H14" i="4"/>
  <c r="B12" i="4"/>
  <c r="B6" i="4"/>
  <c r="D4" i="4"/>
  <c r="F4" i="4"/>
  <c r="H13" i="4"/>
  <c r="D2" i="4"/>
  <c r="D3" i="4"/>
  <c r="C4" i="4"/>
  <c r="G6" i="4"/>
  <c r="H6" i="4"/>
  <c r="B11" i="4"/>
  <c r="H12" i="4"/>
  <c r="G13" i="4"/>
  <c r="F14" i="4"/>
  <c r="E2" i="4"/>
  <c r="C3" i="4"/>
  <c r="B5" i="4"/>
  <c r="F6" i="4"/>
  <c r="B10" i="4"/>
  <c r="H11" i="4"/>
  <c r="G12" i="4"/>
  <c r="F13" i="4"/>
  <c r="E14" i="4"/>
  <c r="F2" i="4"/>
  <c r="H3" i="4"/>
  <c r="G5" i="4"/>
  <c r="E6" i="4"/>
  <c r="H10" i="4"/>
  <c r="G11" i="4"/>
  <c r="F12" i="4"/>
  <c r="E13" i="4"/>
  <c r="D14" i="4"/>
  <c r="G2" i="4"/>
  <c r="B4" i="4"/>
  <c r="F5" i="4"/>
  <c r="D6" i="4"/>
  <c r="G10" i="4"/>
  <c r="F11" i="4"/>
  <c r="E12" i="4"/>
  <c r="D13" i="4"/>
  <c r="C14" i="4"/>
  <c r="H2" i="4"/>
  <c r="G4" i="4"/>
  <c r="E5" i="4"/>
  <c r="C6" i="4"/>
  <c r="F10" i="4"/>
  <c r="E11" i="4"/>
  <c r="D12" i="4"/>
  <c r="C13" i="4"/>
  <c r="B3" i="4"/>
  <c r="D5" i="4"/>
  <c r="G3" i="4"/>
  <c r="E10" i="4"/>
  <c r="D11" i="4"/>
  <c r="C12" i="4"/>
  <c r="B14" i="4"/>
  <c r="C2" i="4"/>
  <c r="E4" i="4"/>
  <c r="C5" i="4"/>
  <c r="H4" i="4"/>
  <c r="C11" i="4"/>
  <c r="B13" i="4"/>
  <c r="B2" i="4"/>
  <c r="H5" i="4"/>
</calcChain>
</file>

<file path=xl/sharedStrings.xml><?xml version="1.0" encoding="utf-8"?>
<sst xmlns="http://schemas.openxmlformats.org/spreadsheetml/2006/main" count="763" uniqueCount="174">
  <si>
    <t>Bank</t>
  </si>
  <si>
    <t xml:space="preserve">Bank_Type </t>
  </si>
  <si>
    <t>Year</t>
  </si>
  <si>
    <t>Cash</t>
  </si>
  <si>
    <t>Paper (Author, Year)</t>
  </si>
  <si>
    <t>Objective</t>
  </si>
  <si>
    <t>Method</t>
  </si>
  <si>
    <t>Variables Used</t>
  </si>
  <si>
    <t>Key Finding</t>
  </si>
  <si>
    <t xml:space="preserve">Gap </t>
  </si>
  <si>
    <t>Akhtar, Ali &amp; Sadaqat (2011) — Factors Influencing the Profitability of Islamic Banks of Pakistan</t>
  </si>
  <si>
    <t>Test how bank-specific factors affect Islamic bank profitability in Pakistan, 2006-2009</t>
  </si>
  <si>
    <t>OLS regression, two models (ROA, ROE)</t>
  </si>
  <si>
    <t>DVs: ROA, ROE. IVs: Size, Gearing Ratio, NPLs Ratio, Asset Management, Capital Adequacy, Operating Efficiency</t>
  </si>
  <si>
    <t>Studies Islamic banks only — no conventional comparator, so never tests if the cost burden is structurally higher than a peer's</t>
  </si>
  <si>
    <t>Bader, Mohamad, Ariff &amp; Hassan — Cost, Revenue, and Profit Efficiency of Conventional versus Islamic Banks</t>
  </si>
  <si>
    <t>Compare cost/revenue/profit efficiency of Islamic vs conventional banks, 21 OIC countries</t>
  </si>
  <si>
    <t>Financial ratios + t-tests/ANOVA by size, age, region</t>
  </si>
  <si>
    <t>CTIR, NIER (cost); NIM, OPIR (revenue); ROAA, ROAE (profit</t>
  </si>
  <si>
    <t>No statistically significant difference in cost, revenue, or profit efficiency between the two banking streams, overall or by subgroup</t>
  </si>
  <si>
    <t>Cross-country pooled sample, not Pakistan-specific — masks country-level regulatory effects; no depositor-return link</t>
  </si>
  <si>
    <t>Khan &amp; Shah (2015) — Cost Efficiency and Total Factor Productivity of Islamic and Conventional Banks in Pakistan</t>
  </si>
  <si>
    <t>Compare cost efficiency and TFP growth of Islamic, conventional, and Islamic-window banks in Pakistan, 2007-2011</t>
  </si>
  <si>
    <t>DEA (CRS) for cost efficiency; Malmquist Index for TFP; Tobit regression</t>
  </si>
  <si>
    <t>DEA inputs: employees, fixed assets, deposits. Outputs: loans, other income, investments. Tobit IVs: ROE, Debt, Size, Deposits</t>
  </si>
  <si>
    <t>Islamic banks' cost efficiency (0.554) is ~35% lower than conventional (0.910) — significant. Islamic banks show highest TFP growth (1.164)</t>
  </si>
  <si>
    <t>Small sample (5 banks/category), dated window (2007-2011), uses a DEA score not a direct cost ratio, no depositor-return link</t>
  </si>
  <si>
    <t>Qureshi &amp; Shaikh (2012) — Efficiency of Islamic and Conventional Banks in Pakistan: A Non-parametric Approach</t>
  </si>
  <si>
    <t>Compare efficiency of one Islamic, one conventional, one Islamic-window bank, 2003-2008</t>
  </si>
  <si>
    <t>Ratio analysis (CTI, NIE, NIM, OOI, ROA, ROE) + DEA (CCR/BCC, window analysis)</t>
  </si>
  <si>
    <t>Cost-to-Income, Non-Interest Expense/Assets, NIM, Other Op. Income/Assets, ROA, ROE, DEA scores</t>
  </si>
  <si>
    <t>Conventional bank most cost efficient throughout; Islamic bank generally cost inefficient — attributed explicitly to Shariah board costs and legal complexity of Islamic contract</t>
  </si>
  <si>
    <t>Single-bank case study per category (n=1) — can't generalize statistically; names Shariah-governance overhead as driver, untested across multiple banks</t>
  </si>
  <si>
    <t>Akhtar, Ali &amp; Sadaqat (2011) — Liquidity Risk Management: A comparative study between Conventional and Islamic Banks of Pakistan</t>
  </si>
  <si>
    <t>Compare liquidity risk determinants, 6 conventional vs 6 Islamic banks, 2006-2009</t>
  </si>
  <si>
    <t>Pooled OLS, two models</t>
  </si>
  <si>
    <t>DV: Liquidity Risk (Cash/Total Assets). IVs: Size, Net Working Capital, ROE, CAR, ROA</t>
  </si>
  <si>
    <t>Conventional banks: CAR positive &amp; significant. Islamic banks: ROA positive &amp; significant, ROE negative &amp; significant. Conventional banks show stronger overall liquidity management</t>
  </si>
  <si>
    <t>Liquidity focus only, not cost structure; sample ends 2009, 15 years before your window; no depositor-return link</t>
  </si>
  <si>
    <t>Hassan — The Cost, Profit and X-Efficiency of Islamic Banks (ERF Conference Paper)</t>
  </si>
  <si>
    <t>Examine cost, profit, revenue, X-efficiency of 43 Islamic banks, 21 countries, 1995-2001, no conventional comparator</t>
  </si>
  <si>
    <t>Stochastic Frontier Analysis, DEA (CRS/VRS), Malmquist TFP, second-stage regression</t>
  </si>
  <si>
    <t>Cost function inputs: labor, capital, funds. DEA outputs: loans, earning assets, off-balance-sheet items</t>
  </si>
  <si>
    <t>Average cost efficiency ~74% vs profit efficiency ~84% — Islamic banks worse at controlling costs than generating profit. Allocative (regulatory) inefficiency dominates technical inefficiency</t>
  </si>
  <si>
    <t>No conventional comparator at all; global sample, not Pakistan-specific, misses SBP's dual-regulatory environment</t>
  </si>
  <si>
    <t>Majeed &amp; Zanib (2016) — Efficiency analysis of Islamic banks in Pakistan (Humanomics)</t>
  </si>
  <si>
    <t>Compare efficiency of full-fledged Islamic banks, Islamic branches of conventional banks, and conventional banks, 2007-2014</t>
  </si>
  <si>
    <t>DEA — total technical, pure technical, and scale efficiency (abstract only, paywalled)</t>
  </si>
  <si>
    <t>DEA-based efficiency scores (inputs/outputs not visible from abstract)</t>
  </si>
  <si>
    <t>Full-fledged Islamic banks less efficient than conventional banks on total and pure technical efficiency. Islamic branches (windows) of conventional banks are highly scale-efficient</t>
  </si>
  <si>
    <t>Only abstract accessible; full-fledged vs window-branch distinction untested in your sample, since all 3 Islamic banks chosen are full-fledged</t>
  </si>
  <si>
    <t>Khan, Khan &amp; Tahir (2017) — Performance comparison of Islamic and conventional banks: empirical evidence from Pakistan</t>
  </si>
  <si>
    <t>Compare profitability, efficiency, risk, liquidity, asset quality — 5 Islamic vs 19 conventional banks, 2007-2014, with crisis sub-sample</t>
  </si>
  <si>
    <t>Independent-samples t-test, logistic regression (abstract only, paywalled)</t>
  </si>
  <si>
    <t>Financial ratios across profitability, efficiency, risk, liquidity, asset quality (specific list not visible from abstract)</t>
  </si>
  <si>
    <t>Islamic banks relatively BETTER in profitability, efficiency, risk, liquidity management; conventional banks superior in asset quality. During crisis, Islamic banks were less profitable</t>
  </si>
  <si>
    <t>Directly contradicts Khan &amp; Shah (2015) and Qureshi &amp; Shaikh (2012) above — this is an unsettled question in the Pakistan literature, the strongest justification for re-testing on 2019-2024 data</t>
  </si>
  <si>
    <t>Operating efficiency (cost ratio) has a significant NEGATIVE relationship with both ROA and ROE. Gearing ratio and capital adequacy positively significant</t>
  </si>
  <si>
    <t>Profit Distributed</t>
  </si>
  <si>
    <t>Total Assets</t>
  </si>
  <si>
    <t>Total Deposits</t>
  </si>
  <si>
    <t>Total Equity</t>
  </si>
  <si>
    <t>Financing/Loans</t>
  </si>
  <si>
    <t>Operating Income</t>
  </si>
  <si>
    <t>Operating Expenses</t>
  </si>
  <si>
    <t>Staff Expenses</t>
  </si>
  <si>
    <t>Net Profit</t>
  </si>
  <si>
    <t>Operating Expense Ratio</t>
  </si>
  <si>
    <t>Operating Expenses ÷ Total Assets</t>
  </si>
  <si>
    <t>Income Statement ÷ Balance Sheet</t>
  </si>
  <si>
    <t>Cost-to-Income Ratio</t>
  </si>
  <si>
    <t>Operating Expenses ÷ Operating Income</t>
  </si>
  <si>
    <t>Income Statement</t>
  </si>
  <si>
    <t>ROA</t>
  </si>
  <si>
    <t>Net Profit ÷ Total Assets</t>
  </si>
  <si>
    <t>ROE</t>
  </si>
  <si>
    <t>Net Profit ÷ Total Equity</t>
  </si>
  <si>
    <t>Cash-to-Assets Ratio</t>
  </si>
  <si>
    <t>Cash ÷ Total Assets</t>
  </si>
  <si>
    <t>Balance Sheet</t>
  </si>
  <si>
    <t>Financing/Loans-to-Assets</t>
  </si>
  <si>
    <t>Financing (or Loans) ÷ Total Assets</t>
  </si>
  <si>
    <t>Deposit Return</t>
  </si>
  <si>
    <t>Profit Distributed to Depositors ÷ Total Deposits</t>
  </si>
  <si>
    <t>Notes to Accounts</t>
  </si>
  <si>
    <t>Bank Size</t>
  </si>
  <si>
    <t>Natural log of Total Assets — =LN(TotalAssets) in Excel</t>
  </si>
  <si>
    <t xml:space="preserve">Variable/Ratio </t>
  </si>
  <si>
    <t>Formula Applied</t>
  </si>
  <si>
    <t>Where to Find</t>
  </si>
  <si>
    <t>Askari</t>
  </si>
  <si>
    <t>Conventional</t>
  </si>
  <si>
    <t>Item</t>
  </si>
  <si>
    <t>Statement</t>
  </si>
  <si>
    <t>(unlabeled subtotal after "Other assets")</t>
  </si>
  <si>
    <t>Unconsolidated Statement of Financial Position</t>
  </si>
  <si>
    <t>Deposits and other accounts</t>
  </si>
  <si>
    <t>Cash and balances with treasury banks</t>
  </si>
  <si>
    <t>Advances</t>
  </si>
  <si>
    <t>Total income</t>
  </si>
  <si>
    <t>Unconsolidated Profit and Loss Account</t>
  </si>
  <si>
    <t>Operating expenses</t>
  </si>
  <si>
    <t>Total compensation expenses (Note 29.1)</t>
  </si>
  <si>
    <t>Notes to Unconsolidated Financial Statements</t>
  </si>
  <si>
    <t>Profit after taxation</t>
  </si>
  <si>
    <t>Cash dividend - 15 percent</t>
  </si>
  <si>
    <t>Appropriations table Directors Report</t>
  </si>
  <si>
    <t>Bank &amp; Year</t>
  </si>
  <si>
    <t>Page</t>
  </si>
  <si>
    <t>Mentioned As</t>
  </si>
  <si>
    <t>Askari Bank 2019</t>
  </si>
  <si>
    <t>Net Assets (Represented by total)</t>
  </si>
  <si>
    <t>Askari Bank 2020</t>
  </si>
  <si>
    <t>Net Assets (Represented By total)</t>
  </si>
  <si>
    <t>Total compensation expenses (Note 28.1)</t>
  </si>
  <si>
    <t>Cash dividend - 30 percent</t>
  </si>
  <si>
    <t>Appropriations table, Directors' Report</t>
  </si>
  <si>
    <t>Staff Strength</t>
  </si>
  <si>
    <t>Askari Bank 2021</t>
  </si>
  <si>
    <t>Cash dividend - Nil (2020: 30%)</t>
  </si>
  <si>
    <t>HBL</t>
  </si>
  <si>
    <t>Askari Bank 2022</t>
  </si>
  <si>
    <t>Bonus shares @ 15% (non-cash)</t>
  </si>
  <si>
    <t>Askari Bank 2023</t>
  </si>
  <si>
    <t>Cash dividend - 25 percent</t>
  </si>
  <si>
    <t>Askari Bank 2024</t>
  </si>
  <si>
    <t>Total Assets (explicitly labeled)</t>
  </si>
  <si>
    <t>Total compensation expenses (Note 32.1)</t>
  </si>
  <si>
    <t>JS</t>
  </si>
  <si>
    <t>HBL 2019</t>
  </si>
  <si>
    <t>Net Assets</t>
  </si>
  <si>
    <t>Total compensation expense (Note 28.1)</t>
  </si>
  <si>
    <t>Cash dividend Final + 1st/2nd/3rd interim</t>
  </si>
  <si>
    <t>Movement in Reserves (Appropriations), Directors' Report</t>
  </si>
  <si>
    <t>HBL 2020</t>
  </si>
  <si>
    <t>Cash dividend Final + 1st interim only</t>
  </si>
  <si>
    <t>HBL 2021</t>
  </si>
  <si>
    <t>HBL 2022</t>
  </si>
  <si>
    <t>HBL 2023</t>
  </si>
  <si>
    <t>HBL 2024</t>
  </si>
  <si>
    <t>Total compensation expense (Note 30.1)</t>
  </si>
  <si>
    <t>Meezan</t>
  </si>
  <si>
    <t>Islamic</t>
  </si>
  <si>
    <t>BankIslami</t>
  </si>
  <si>
    <t>Bank Type</t>
  </si>
  <si>
    <t>Years</t>
  </si>
  <si>
    <t>Financing-to-Assets Ratio</t>
  </si>
  <si>
    <t xml:space="preserve">Bank Size </t>
  </si>
  <si>
    <t>Statistic</t>
  </si>
  <si>
    <t>Mean</t>
  </si>
  <si>
    <t>Median</t>
  </si>
  <si>
    <t>Standard Deviation</t>
  </si>
  <si>
    <t>Minimum</t>
  </si>
  <si>
    <t>Maximum</t>
  </si>
  <si>
    <t>ISLAMIC BANKS</t>
  </si>
  <si>
    <t>CONVENTIONAL BANKS</t>
  </si>
  <si>
    <t>1. Operating Expense Ratio</t>
  </si>
  <si>
    <t>Banks</t>
  </si>
  <si>
    <t>2. Cost-to-Income Ratio</t>
  </si>
  <si>
    <t>3. ROA</t>
  </si>
  <si>
    <t>Islamic Average</t>
  </si>
  <si>
    <t>Conventional Average</t>
  </si>
  <si>
    <t>Operating Expenses Ratio</t>
  </si>
  <si>
    <t>Cost to Income Ratio</t>
  </si>
  <si>
    <t>Average of Operating Expense Ratio</t>
  </si>
  <si>
    <t>Average of ROA</t>
  </si>
  <si>
    <t>Average of Cost-to-Income Ratio</t>
  </si>
  <si>
    <t>Average of ROE</t>
  </si>
  <si>
    <t>Average of Cash-to-Assets Ratio</t>
  </si>
  <si>
    <t>Average of Financing-to-Assets Ratio</t>
  </si>
  <si>
    <t>% Diff</t>
  </si>
  <si>
    <t>Dubai Islamic Bank</t>
  </si>
  <si>
    <t>Staff Strength Comparison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</si>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</sst>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Aptos Narrow"/>
      <family val="2"/>
      <scheme val="minor"/>
    </font>
    <font>
      <sz val="10"/>
      <color rgb="FF000000"/>
      <name val="Calibri"/>
      <family val="2"/>
    </font>
    <font>
      <b/>
      <sz val="10"/>
      <color rgb="FFFFFFFF"/>
      <name val="Calibri"/>
      <family val="2"/>
    </font>
    <font>
      <b/>
      <sz val="11"/>
      <color theme="1"/>
      <name val="Aptos Narrow"/>
      <family val="2"/>
      <scheme val="minor"/>
    </font>
    <font>
      <sz val="8"/>
      <name val="Aptos Narrow"/>
      <family val="2"/>
      <scheme val="minor"/>
    </font>
    <font>
      <sz val="11"/>
      <color theme="1"/>
      <name val="Aptos Narrow"/>
      <family val="2"/>
      <scheme val="minor"/>
    </font>
    <font>
      <sz val="11"/>
      <color theme="1"/>
      <name val="Calibri"/>
      <family val="2"/>
    </font>
    <font>
      <b/>
      <sz val="11"/>
      <color theme="0"/>
      <name val="Aptos Narrow"/>
      <family val="2"/>
      <scheme val="minor"/>
    </font>
    <font>
      <sz val="11"/>
      <color theme="0"/>
      <name val="Aptos Narrow"/>
      <family val="2"/>
      <scheme val="minor"/>
    </font>
    <font>
      <b/>
      <sz val="10"/>
      <color rgb="FF000000"/>
      <name val="Calibri"/>
      <family val="2"/>
    </font>
  </fonts>
  <fills count="14">
    <fill>
      <patternFill patternType="none"/>
    </fill>
    <fill>
      <patternFill patternType="gray125"/>
    </fill>
    <fill>
      <patternFill patternType="solid">
        <fgColor rgb="FF1F3864"/>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bgColor theme="4"/>
      </patternFill>
    </fill>
    <fill>
      <patternFill patternType="solid">
        <fgColor rgb="FFFFFF00"/>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40">
    <xf numFmtId="0" fontId="0" fillId="0" borderId="0" xfId="0"/>
    <xf numFmtId="0" fontId="1" fillId="0" borderId="0" xfId="0" applyFont="1"/>
    <xf numFmtId="0" fontId="1" fillId="0" borderId="1" xfId="0" applyFont="1" applyBorder="1" applyAlignment="1">
      <alignment vertical="center" wrapText="1"/>
    </xf>
    <xf numFmtId="0" fontId="0" fillId="0" borderId="0" xfId="0" applyAlignment="1">
      <alignment horizontal="lef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3" fontId="0" fillId="0" borderId="0" xfId="0" applyNumberFormat="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6" fillId="0" borderId="0" xfId="0" applyFont="1"/>
    <xf numFmtId="10" fontId="1" fillId="0" borderId="0" xfId="2" applyNumberFormat="1" applyFont="1"/>
    <xf numFmtId="10" fontId="0" fillId="0" borderId="0" xfId="2" applyNumberFormat="1" applyFont="1"/>
    <xf numFmtId="10" fontId="1" fillId="0" borderId="1" xfId="2" applyNumberFormat="1" applyFont="1" applyBorder="1" applyAlignment="1">
      <alignment vertical="center"/>
    </xf>
    <xf numFmtId="10" fontId="1" fillId="0" borderId="1" xfId="2" applyNumberFormat="1" applyFont="1" applyBorder="1" applyAlignment="1">
      <alignment vertical="center" wrapText="1"/>
    </xf>
    <xf numFmtId="43" fontId="1" fillId="0" borderId="0" xfId="1" applyFont="1"/>
    <xf numFmtId="43" fontId="0" fillId="0" borderId="0" xfId="1" applyFont="1"/>
    <xf numFmtId="10" fontId="9" fillId="7" borderId="4" xfId="2" applyNumberFormat="1" applyFont="1" applyFill="1" applyBorder="1"/>
    <xf numFmtId="10" fontId="9" fillId="7" borderId="1" xfId="2" applyNumberFormat="1" applyFont="1" applyFill="1" applyBorder="1" applyAlignment="1">
      <alignment vertical="center"/>
    </xf>
    <xf numFmtId="10" fontId="7" fillId="7" borderId="4" xfId="2" applyNumberFormat="1" applyFont="1" applyFill="1" applyBorder="1"/>
    <xf numFmtId="43" fontId="9" fillId="7" borderId="5" xfId="1" applyFont="1" applyFill="1" applyBorder="1"/>
    <xf numFmtId="10" fontId="0" fillId="0" borderId="0" xfId="0" applyNumberFormat="1"/>
    <xf numFmtId="0" fontId="0" fillId="8" borderId="0" xfId="0" applyFill="1"/>
    <xf numFmtId="0" fontId="0" fillId="0" borderId="0" xfId="0" pivotButton="1"/>
    <xf numFmtId="0" fontId="0" fillId="0" borderId="0" xfId="0" applyAlignment="1">
      <alignment horizontal="left"/>
    </xf>
    <xf numFmtId="0" fontId="3" fillId="0" borderId="0" xfId="0" applyFont="1" applyAlignment="1">
      <alignment horizontal="center" vertical="center" wrapText="1"/>
    </xf>
    <xf numFmtId="0" fontId="3" fillId="0" borderId="0" xfId="0" applyFont="1" applyAlignment="1">
      <alignment horizontal="righ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0" fontId="0" fillId="10" borderId="0" xfId="0" applyFill="1"/>
    <xf numFmtId="0" fontId="0" fillId="12" borderId="0" xfId="0" applyFill="1"/>
    <xf numFmtId="0" fontId="0" fillId="13" borderId="0" xfId="0" applyFill="1"/>
    <xf numFmtId="0" fontId="8" fillId="9" borderId="0" xfId="0" applyFont="1" applyFill="1"/>
    <xf numFmtId="0" fontId="8" fillId="11" borderId="0" xfId="0" applyFont="1" applyFill="1"/>
  </cellXfs>
  <cellStyles count="3">
    <cellStyle name="Comma" xfId="1" builtinId="3"/>
    <cellStyle name="Normal" xfId="0" builtinId="0"/>
    <cellStyle name="Percent" xfId="2" builtinId="5"/>
  </cellStyles>
  <dxfs count="83">
    <dxf>
      <fill>
        <patternFill patternType="solid">
          <fgColor indexed="64"/>
          <bgColor theme="5" tint="0.79998168889431442"/>
        </patternFill>
      </fill>
    </dxf>
    <dxf>
      <font>
        <b/>
        <i val="0"/>
        <strike val="0"/>
        <condense val="0"/>
        <extend val="0"/>
        <outline val="0"/>
        <shadow val="0"/>
        <u val="none"/>
        <vertAlign val="baseline"/>
        <sz val="11"/>
        <color theme="1"/>
        <name val="Aptos Narrow"/>
        <family val="2"/>
        <scheme val="minor"/>
      </font>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alignment horizontal="general" vertical="center"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0"/>
        <color rgb="FF000000"/>
        <name val="Calibri"/>
        <family val="2"/>
        <scheme val="none"/>
      </font>
      <alignment horizontal="general" vertical="center" textRotation="0" wrapText="0" indent="0" justifyLastLine="0" shrinkToFit="0" readingOrder="0"/>
      <border diagonalUp="0" diagonalDown="0" outline="0">
        <left/>
        <right style="medium">
          <color indexed="64"/>
        </right>
        <top/>
        <bottom style="medium">
          <color indexed="64"/>
        </bottom>
      </border>
    </dxf>
    <dxf>
      <font>
        <b val="0"/>
        <i val="0"/>
        <strike val="0"/>
        <condense val="0"/>
        <extend val="0"/>
        <outline val="0"/>
        <shadow val="0"/>
        <u val="none"/>
        <vertAlign val="baseline"/>
        <sz val="10"/>
        <color rgb="FF000000"/>
        <name val="Calibri"/>
        <family val="2"/>
        <scheme val="none"/>
      </font>
      <alignment horizontal="general" vertical="center" textRotation="0" wrapText="0" indent="0" justifyLastLine="0" shrinkToFit="0" readingOrder="0"/>
      <border diagonalUp="0" diagonalDown="0" outline="0">
        <left/>
        <right style="medium">
          <color indexed="64"/>
        </right>
        <top/>
        <bottom style="medium">
          <color indexed="64"/>
        </bottom>
      </border>
    </dxf>
    <dxf>
      <border outline="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0"/>
        <color rgb="FFFFFFFF"/>
        <name val="Calibri"/>
        <family val="2"/>
        <scheme val="none"/>
      </font>
      <fill>
        <patternFill patternType="solid">
          <fgColor indexed="64"/>
          <bgColor rgb="FF1F3864"/>
        </patternFill>
      </fill>
      <alignment horizontal="general" vertical="center" textRotation="0" wrapText="1" indent="0" justifyLastLine="0" shrinkToFit="0" readingOrder="0"/>
      <border diagonalUp="0" diagonalDown="0" outline="0">
        <left style="medium">
          <color indexed="64"/>
        </left>
        <right style="medium">
          <color indexed="64"/>
        </right>
        <top/>
        <bottom/>
      </border>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color theme="0"/>
      </font>
    </dxf>
    <dxf>
      <font>
        <color theme="0"/>
      </font>
    </dxf>
    <dxf>
      <font>
        <color theme="0"/>
      </font>
    </dxf>
    <dxf>
      <fill>
        <patternFill patternType="solid">
          <bgColor theme="6" tint="0.39997558519241921"/>
        </patternFill>
      </fill>
    </dxf>
    <dxf>
      <fill>
        <patternFill patternType="solid">
          <bgColor theme="8" tint="-0.249977111117893"/>
        </patternFill>
      </fill>
    </dxf>
    <dxf>
      <fill>
        <patternFill patternType="solid">
          <bgColor theme="4" tint="0.59999389629810485"/>
        </patternFill>
      </fill>
    </dxf>
    <dxf>
      <fill>
        <patternFill patternType="solid">
          <bgColor theme="6" tint="-0.249977111117893"/>
        </patternFill>
      </fill>
    </dxf>
    <dxf>
      <fill>
        <patternFill>
          <bgColor theme="5" tint="0.39997558519241921"/>
        </patternFill>
      </fill>
    </dxf>
    <dxf>
      <fill>
        <patternFill patternType="solid">
          <bgColor theme="5" tint="-0.249977111117893"/>
        </patternFill>
      </fill>
    </dxf>
    <dxf>
      <fill>
        <patternFill patternType="solid">
          <bgColor theme="4" tint="-0.249977111117893"/>
        </patternFill>
      </fill>
    </dxf>
    <dxf>
      <fill>
        <patternFill patternType="solid">
          <bgColor rgb="FFFFFF00"/>
        </patternFill>
      </fill>
    </dxf>
    <dxf>
      <fill>
        <patternFill patternType="solid">
          <bgColor rgb="FFFFFF00"/>
        </patternFill>
      </fill>
    </dxf>
    <dxf>
      <font>
        <color theme="0"/>
      </font>
    </dxf>
    <dxf>
      <font>
        <color theme="0"/>
      </font>
    </dxf>
    <dxf>
      <font>
        <color theme="0"/>
      </font>
    </dxf>
    <dxf>
      <fill>
        <patternFill patternType="solid">
          <bgColor theme="6" tint="0.39997558519241921"/>
        </patternFill>
      </fill>
    </dxf>
    <dxf>
      <fill>
        <patternFill patternType="solid">
          <bgColor theme="8" tint="-0.249977111117893"/>
        </patternFill>
      </fill>
    </dxf>
    <dxf>
      <fill>
        <patternFill patternType="solid">
          <bgColor theme="4" tint="0.59999389629810485"/>
        </patternFill>
      </fill>
    </dxf>
    <dxf>
      <fill>
        <patternFill patternType="solid">
          <bgColor theme="6" tint="-0.249977111117893"/>
        </patternFill>
      </fill>
    </dxf>
    <dxf>
      <fill>
        <patternFill>
          <bgColor theme="5" tint="0.39997558519241921"/>
        </patternFill>
      </fill>
    </dxf>
    <dxf>
      <fill>
        <patternFill patternType="solid">
          <bgColor theme="5" tint="-0.249977111117893"/>
        </patternFill>
      </fill>
    </dxf>
    <dxf>
      <fill>
        <patternFill patternType="solid">
          <bgColor theme="4" tint="-0.249977111117893"/>
        </patternFill>
      </fill>
    </dxf>
    <dxf>
      <fill>
        <patternFill patternType="solid">
          <bgColor rgb="FFFFFF00"/>
        </patternFill>
      </fill>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0"/>
        <color rgb="FF000000"/>
        <name val="Calibri"/>
        <family val="2"/>
        <scheme val="none"/>
      </font>
      <numFmt numFmtId="14" formatCode="0.00%"/>
      <fill>
        <patternFill patternType="solid">
          <fgColor theme="4"/>
          <bgColor theme="4"/>
        </patternFill>
      </fill>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0"/>
        <color rgb="FF000000"/>
        <name val="Calibri"/>
        <family val="2"/>
        <scheme val="none"/>
      </font>
      <numFmt numFmtId="14" formatCode="0.00%"/>
      <fill>
        <patternFill patternType="solid">
          <fgColor theme="4"/>
          <bgColor theme="4"/>
        </patternFill>
      </fill>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0"/>
        <color rgb="FF000000"/>
        <name val="Calibri"/>
        <family val="2"/>
        <scheme val="none"/>
      </font>
      <numFmt numFmtId="14" formatCode="0.00%"/>
      <fill>
        <patternFill patternType="solid">
          <fgColor theme="4"/>
          <bgColor theme="4"/>
        </patternFill>
      </fill>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0"/>
        <color rgb="FF000000"/>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[Bank_Research_Master.xlsx]Trend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K" sz="1400" b="0" i="0" u="none" strike="noStrike" baseline="0"/>
              <a:t>Operating Expense Ratio Trend (2019–2024)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Chart'!$B$3:$B$4</c:f>
              <c:strCache>
                <c:ptCount val="1"/>
                <c:pt idx="0">
                  <c:v>Askari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Chart'!$A$5:$A$10</c:f>
              <c:strCache>
                <c:ptCount val="6"/>
                <c:pt idx="0">
                  <c:v>2019</c:v>
                </c:pt>
                <c:pt idx="1">
                  <c:v>2020</c:v>
                </c:pt>
                <c:pt idx="2">
                  <c:v>2021</c:v>
                </c:pt>
                <c:pt idx="3">
                  <c:v>2022</c:v>
                </c:pt>
                <c:pt idx="4">
                  <c:v>2023</c:v>
                </c:pt>
                <c:pt idx="5">
                  <c:v>2024</c:v>
                </c:pt>
              </c:strCache>
            </c:strRef>
          </c:cat>
          <c:val>
            <c:numRef>
              <c:f>'Trend Chart'!$B$5:$B$10</c:f>
              <c:numCache>
                <c:formatCode>0.00%</c:formatCode>
                <c:ptCount val="6"/>
                <c:pt idx="0">
                  <c:v>2.1885755860103918E-2</c:v>
                </c:pt>
                <c:pt idx="1">
                  <c:v>2.027521316303578E-2</c:v>
                </c:pt>
                <c:pt idx="2">
                  <c:v>1.6591051691923535E-2</c:v>
                </c:pt>
                <c:pt idx="3">
                  <c:v>1.479057011657669E-2</c:v>
                </c:pt>
                <c:pt idx="4">
                  <c:v>1.3450729683192946E-2</c:v>
                </c:pt>
                <c:pt idx="5">
                  <c:v>1.4172613905930076E-2</c:v>
                </c:pt>
              </c:numCache>
            </c:numRef>
          </c:val>
          <c:smooth val="0"/>
          <c:extLst>
            <c:ext xmlns:c16="http://schemas.microsoft.com/office/drawing/2014/chart" uri="{C3380CC4-5D6E-409C-BE32-E72D297353CC}">
              <c16:uniqueId val="{00000000-0D34-40A5-B314-C7C35F8A8B56}"/>
            </c:ext>
          </c:extLst>
        </c:ser>
        <c:ser>
          <c:idx val="1"/>
          <c:order val="1"/>
          <c:tx>
            <c:strRef>
              <c:f>'Trend Chart'!$C$3:$C$4</c:f>
              <c:strCache>
                <c:ptCount val="1"/>
                <c:pt idx="0">
                  <c:v>BankIslami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Chart'!$A$5:$A$10</c:f>
              <c:strCache>
                <c:ptCount val="6"/>
                <c:pt idx="0">
                  <c:v>2019</c:v>
                </c:pt>
                <c:pt idx="1">
                  <c:v>2020</c:v>
                </c:pt>
                <c:pt idx="2">
                  <c:v>2021</c:v>
                </c:pt>
                <c:pt idx="3">
                  <c:v>2022</c:v>
                </c:pt>
                <c:pt idx="4">
                  <c:v>2023</c:v>
                </c:pt>
                <c:pt idx="5">
                  <c:v>2024</c:v>
                </c:pt>
              </c:strCache>
            </c:strRef>
          </c:cat>
          <c:val>
            <c:numRef>
              <c:f>'Trend Chart'!$C$5:$C$10</c:f>
              <c:numCache>
                <c:formatCode>0.00%</c:formatCode>
                <c:ptCount val="6"/>
                <c:pt idx="0">
                  <c:v>2.7273968995179431E-2</c:v>
                </c:pt>
                <c:pt idx="1">
                  <c:v>2.5507317635362028E-2</c:v>
                </c:pt>
                <c:pt idx="2">
                  <c:v>2.3383554766917579E-2</c:v>
                </c:pt>
                <c:pt idx="3">
                  <c:v>2.4163021214930708E-2</c:v>
                </c:pt>
                <c:pt idx="4">
                  <c:v>2.4676282730105706E-2</c:v>
                </c:pt>
                <c:pt idx="5">
                  <c:v>3.0032597100682637E-2</c:v>
                </c:pt>
              </c:numCache>
            </c:numRef>
          </c:val>
          <c:smooth val="0"/>
          <c:extLst>
            <c:ext xmlns:c16="http://schemas.microsoft.com/office/drawing/2014/chart" uri="{C3380CC4-5D6E-409C-BE32-E72D297353CC}">
              <c16:uniqueId val="{00000007-0D34-40A5-B314-C7C35F8A8B56}"/>
            </c:ext>
          </c:extLst>
        </c:ser>
        <c:ser>
          <c:idx val="2"/>
          <c:order val="2"/>
          <c:tx>
            <c:strRef>
              <c:f>'Trend Chart'!$D$3:$D$4</c:f>
              <c:strCache>
                <c:ptCount val="1"/>
                <c:pt idx="0">
                  <c:v>HBL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Chart'!$A$5:$A$10</c:f>
              <c:strCache>
                <c:ptCount val="6"/>
                <c:pt idx="0">
                  <c:v>2019</c:v>
                </c:pt>
                <c:pt idx="1">
                  <c:v>2020</c:v>
                </c:pt>
                <c:pt idx="2">
                  <c:v>2021</c:v>
                </c:pt>
                <c:pt idx="3">
                  <c:v>2022</c:v>
                </c:pt>
                <c:pt idx="4">
                  <c:v>2023</c:v>
                </c:pt>
                <c:pt idx="5">
                  <c:v>2024</c:v>
                </c:pt>
              </c:strCache>
            </c:strRef>
          </c:cat>
          <c:val>
            <c:numRef>
              <c:f>'Trend Chart'!$D$5:$D$10</c:f>
              <c:numCache>
                <c:formatCode>0.00%</c:formatCode>
                <c:ptCount val="6"/>
                <c:pt idx="0">
                  <c:v>2.7084614668435373E-2</c:v>
                </c:pt>
                <c:pt idx="1">
                  <c:v>2.2820577858448144E-2</c:v>
                </c:pt>
                <c:pt idx="2">
                  <c:v>2.0764727310458427E-2</c:v>
                </c:pt>
                <c:pt idx="3">
                  <c:v>2.5366888982140189E-2</c:v>
                </c:pt>
                <c:pt idx="4">
                  <c:v>2.9286614095024831E-2</c:v>
                </c:pt>
                <c:pt idx="5">
                  <c:v>3.0153323706274108E-2</c:v>
                </c:pt>
              </c:numCache>
            </c:numRef>
          </c:val>
          <c:smooth val="0"/>
          <c:extLst>
            <c:ext xmlns:c16="http://schemas.microsoft.com/office/drawing/2014/chart" uri="{C3380CC4-5D6E-409C-BE32-E72D297353CC}">
              <c16:uniqueId val="{00000008-0D34-40A5-B314-C7C35F8A8B56}"/>
            </c:ext>
          </c:extLst>
        </c:ser>
        <c:ser>
          <c:idx val="3"/>
          <c:order val="3"/>
          <c:tx>
            <c:strRef>
              <c:f>'Trend Chart'!$E$3:$E$4</c:f>
              <c:strCache>
                <c:ptCount val="1"/>
                <c:pt idx="0">
                  <c:v>JS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Chart'!$A$5:$A$10</c:f>
              <c:strCache>
                <c:ptCount val="6"/>
                <c:pt idx="0">
                  <c:v>2019</c:v>
                </c:pt>
                <c:pt idx="1">
                  <c:v>2020</c:v>
                </c:pt>
                <c:pt idx="2">
                  <c:v>2021</c:v>
                </c:pt>
                <c:pt idx="3">
                  <c:v>2022</c:v>
                </c:pt>
                <c:pt idx="4">
                  <c:v>2023</c:v>
                </c:pt>
                <c:pt idx="5">
                  <c:v>2024</c:v>
                </c:pt>
              </c:strCache>
            </c:strRef>
          </c:cat>
          <c:val>
            <c:numRef>
              <c:f>'Trend Chart'!$E$5:$E$10</c:f>
              <c:numCache>
                <c:formatCode>0.00%</c:formatCode>
                <c:ptCount val="6"/>
                <c:pt idx="0">
                  <c:v>2.2940241106289474E-2</c:v>
                </c:pt>
                <c:pt idx="1">
                  <c:v>2.4464060532477839E-2</c:v>
                </c:pt>
                <c:pt idx="2">
                  <c:v>2.1774678590736903E-2</c:v>
                </c:pt>
                <c:pt idx="3">
                  <c:v>2.7158338310141982E-2</c:v>
                </c:pt>
                <c:pt idx="4">
                  <c:v>3.9091086158000478E-2</c:v>
                </c:pt>
                <c:pt idx="5">
                  <c:v>4.2989977281630433E-2</c:v>
                </c:pt>
              </c:numCache>
            </c:numRef>
          </c:val>
          <c:smooth val="0"/>
          <c:extLst>
            <c:ext xmlns:c16="http://schemas.microsoft.com/office/drawing/2014/chart" uri="{C3380CC4-5D6E-409C-BE32-E72D297353CC}">
              <c16:uniqueId val="{00000009-0D34-40A5-B314-C7C35F8A8B56}"/>
            </c:ext>
          </c:extLst>
        </c:ser>
        <c:ser>
          <c:idx val="4"/>
          <c:order val="4"/>
          <c:tx>
            <c:strRef>
              <c:f>'Trend Chart'!$F$3:$F$4</c:f>
              <c:strCache>
                <c:ptCount val="1"/>
                <c:pt idx="0">
                  <c:v>Meezan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Chart'!$A$5:$A$10</c:f>
              <c:strCache>
                <c:ptCount val="6"/>
                <c:pt idx="0">
                  <c:v>2019</c:v>
                </c:pt>
                <c:pt idx="1">
                  <c:v>2020</c:v>
                </c:pt>
                <c:pt idx="2">
                  <c:v>2021</c:v>
                </c:pt>
                <c:pt idx="3">
                  <c:v>2022</c:v>
                </c:pt>
                <c:pt idx="4">
                  <c:v>2023</c:v>
                </c:pt>
                <c:pt idx="5">
                  <c:v>2024</c:v>
                </c:pt>
              </c:strCache>
            </c:strRef>
          </c:cat>
          <c:val>
            <c:numRef>
              <c:f>'Trend Chart'!$F$5:$F$10</c:f>
              <c:numCache>
                <c:formatCode>0.00%</c:formatCode>
                <c:ptCount val="6"/>
                <c:pt idx="0">
                  <c:v>2.2145352251739144E-2</c:v>
                </c:pt>
                <c:pt idx="1">
                  <c:v>1.8933574862200441E-2</c:v>
                </c:pt>
                <c:pt idx="2">
                  <c:v>1.8054024879196818E-2</c:v>
                </c:pt>
                <c:pt idx="3">
                  <c:v>1.794051200975184E-2</c:v>
                </c:pt>
                <c:pt idx="4">
                  <c:v>2.2534576429970518E-2</c:v>
                </c:pt>
                <c:pt idx="5">
                  <c:v>2.0384926684130004E-2</c:v>
                </c:pt>
              </c:numCache>
            </c:numRef>
          </c:val>
          <c:smooth val="0"/>
          <c:extLst>
            <c:ext xmlns:c16="http://schemas.microsoft.com/office/drawing/2014/chart" uri="{C3380CC4-5D6E-409C-BE32-E72D297353CC}">
              <c16:uniqueId val="{0000000A-0D34-40A5-B314-C7C35F8A8B56}"/>
            </c:ext>
          </c:extLst>
        </c:ser>
        <c:ser>
          <c:idx val="5"/>
          <c:order val="5"/>
          <c:tx>
            <c:strRef>
              <c:f>'Trend Chart'!$G$3:$G$4</c:f>
              <c:strCache>
                <c:ptCount val="1"/>
                <c:pt idx="0">
                  <c:v>Dubai Islamic Bank</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'Trend Chart'!$A$5:$A$10</c:f>
              <c:strCache>
                <c:ptCount val="6"/>
                <c:pt idx="0">
                  <c:v>2019</c:v>
                </c:pt>
                <c:pt idx="1">
                  <c:v>2020</c:v>
                </c:pt>
                <c:pt idx="2">
                  <c:v>2021</c:v>
                </c:pt>
                <c:pt idx="3">
                  <c:v>2022</c:v>
                </c:pt>
                <c:pt idx="4">
                  <c:v>2023</c:v>
                </c:pt>
                <c:pt idx="5">
                  <c:v>2024</c:v>
                </c:pt>
              </c:strCache>
            </c:strRef>
          </c:cat>
          <c:val>
            <c:numRef>
              <c:f>'Trend Chart'!$G$5:$G$10</c:f>
              <c:numCache>
                <c:formatCode>0.00%</c:formatCode>
                <c:ptCount val="6"/>
                <c:pt idx="0">
                  <c:v>2.5161509118824071E-2</c:v>
                </c:pt>
                <c:pt idx="1">
                  <c:v>2.4301323736189272E-2</c:v>
                </c:pt>
                <c:pt idx="2">
                  <c:v>2.3573750125965874E-2</c:v>
                </c:pt>
                <c:pt idx="3">
                  <c:v>2.2748688767385415E-2</c:v>
                </c:pt>
                <c:pt idx="4">
                  <c:v>2.8783353365125962E-2</c:v>
                </c:pt>
                <c:pt idx="5">
                  <c:v>3.497448929623595E-2</c:v>
                </c:pt>
              </c:numCache>
            </c:numRef>
          </c:val>
          <c:smooth val="0"/>
          <c:extLst>
            <c:ext xmlns:c16="http://schemas.microsoft.com/office/drawing/2014/chart" uri="{C3380CC4-5D6E-409C-BE32-E72D297353CC}">
              <c16:uniqueId val="{0000000B-0D34-40A5-B314-C7C35F8A8B56}"/>
            </c:ext>
          </c:extLst>
        </c:ser>
        <c:dLbls>
          <c:showLegendKey val="0"/>
          <c:showVal val="0"/>
          <c:showCatName val="0"/>
          <c:showSerName val="0"/>
          <c:showPercent val="0"/>
          <c:showBubbleSize val="0"/>
        </c:dLbls>
        <c:marker val="1"/>
        <c:smooth val="0"/>
        <c:axId val="530463224"/>
        <c:axId val="535808688"/>
      </c:lineChart>
      <c:catAx>
        <c:axId val="530463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35808688"/>
        <c:crosses val="autoZero"/>
        <c:auto val="1"/>
        <c:lblAlgn val="ctr"/>
        <c:lblOffset val="100"/>
        <c:noMultiLvlLbl val="0"/>
      </c:catAx>
      <c:valAx>
        <c:axId val="53580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Operating Expense</a:t>
                </a:r>
                <a:r>
                  <a:rPr lang="en-US" baseline="0"/>
                  <a:t>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30463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[Bank_Research_Master.xlsx]Trend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K" sz="1400" b="0" i="0" u="none" strike="noStrike" baseline="0"/>
              <a:t>Cost-to-Income Ratio</a:t>
            </a:r>
            <a:r>
              <a:rPr lang="en-US" sz="1400" b="0" i="0" u="none" strike="noStrike" baseline="0"/>
              <a:t> Trend (2019-2024)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Chart'!$B$12:$B$13</c:f>
              <c:strCache>
                <c:ptCount val="1"/>
                <c:pt idx="0">
                  <c:v>Askari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Chart'!$A$14:$A$19</c:f>
              <c:strCache>
                <c:ptCount val="6"/>
                <c:pt idx="0">
                  <c:v>2019</c:v>
                </c:pt>
                <c:pt idx="1">
                  <c:v>2020</c:v>
                </c:pt>
                <c:pt idx="2">
                  <c:v>2021</c:v>
                </c:pt>
                <c:pt idx="3">
                  <c:v>2022</c:v>
                </c:pt>
                <c:pt idx="4">
                  <c:v>2023</c:v>
                </c:pt>
                <c:pt idx="5">
                  <c:v>2024</c:v>
                </c:pt>
              </c:strCache>
            </c:strRef>
          </c:cat>
          <c:val>
            <c:numRef>
              <c:f>'Trend Chart'!$B$14:$B$19</c:f>
              <c:numCache>
                <c:formatCode>0.00%</c:formatCode>
                <c:ptCount val="6"/>
                <c:pt idx="0">
                  <c:v>0.61731174177167314</c:v>
                </c:pt>
                <c:pt idx="1">
                  <c:v>0.50363359081091397</c:v>
                </c:pt>
                <c:pt idx="2">
                  <c:v>0.50002009364860955</c:v>
                </c:pt>
                <c:pt idx="3">
                  <c:v>0.43760578150818941</c:v>
                </c:pt>
                <c:pt idx="4">
                  <c:v>0.39482948519385458</c:v>
                </c:pt>
                <c:pt idx="5">
                  <c:v>0.44979999371955431</c:v>
                </c:pt>
              </c:numCache>
            </c:numRef>
          </c:val>
          <c:smooth val="0"/>
          <c:extLst>
            <c:ext xmlns:c16="http://schemas.microsoft.com/office/drawing/2014/chart" uri="{C3380CC4-5D6E-409C-BE32-E72D297353CC}">
              <c16:uniqueId val="{00000000-3269-4B23-9467-8AFA10B4EE68}"/>
            </c:ext>
          </c:extLst>
        </c:ser>
        <c:ser>
          <c:idx val="1"/>
          <c:order val="1"/>
          <c:tx>
            <c:strRef>
              <c:f>'Trend Chart'!$C$12:$C$13</c:f>
              <c:strCache>
                <c:ptCount val="1"/>
                <c:pt idx="0">
                  <c:v>BankIslami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Chart'!$A$14:$A$19</c:f>
              <c:strCache>
                <c:ptCount val="6"/>
                <c:pt idx="0">
                  <c:v>2019</c:v>
                </c:pt>
                <c:pt idx="1">
                  <c:v>2020</c:v>
                </c:pt>
                <c:pt idx="2">
                  <c:v>2021</c:v>
                </c:pt>
                <c:pt idx="3">
                  <c:v>2022</c:v>
                </c:pt>
                <c:pt idx="4">
                  <c:v>2023</c:v>
                </c:pt>
                <c:pt idx="5">
                  <c:v>2024</c:v>
                </c:pt>
              </c:strCache>
            </c:strRef>
          </c:cat>
          <c:val>
            <c:numRef>
              <c:f>'Trend Chart'!$C$14:$C$19</c:f>
              <c:numCache>
                <c:formatCode>0.00%</c:formatCode>
                <c:ptCount val="6"/>
                <c:pt idx="0">
                  <c:v>0.62149300825245546</c:v>
                </c:pt>
                <c:pt idx="1">
                  <c:v>0.60732351543297214</c:v>
                </c:pt>
                <c:pt idx="2">
                  <c:v>0.73168002209073413</c:v>
                </c:pt>
                <c:pt idx="3">
                  <c:v>0.49052375293740264</c:v>
                </c:pt>
                <c:pt idx="4">
                  <c:v>0.37153478100558812</c:v>
                </c:pt>
                <c:pt idx="5">
                  <c:v>0.43468626205593791</c:v>
                </c:pt>
              </c:numCache>
            </c:numRef>
          </c:val>
          <c:smooth val="0"/>
          <c:extLst>
            <c:ext xmlns:c16="http://schemas.microsoft.com/office/drawing/2014/chart" uri="{C3380CC4-5D6E-409C-BE32-E72D297353CC}">
              <c16:uniqueId val="{00000001-3269-4B23-9467-8AFA10B4EE68}"/>
            </c:ext>
          </c:extLst>
        </c:ser>
        <c:ser>
          <c:idx val="2"/>
          <c:order val="2"/>
          <c:tx>
            <c:strRef>
              <c:f>'Trend Chart'!$D$12:$D$13</c:f>
              <c:strCache>
                <c:ptCount val="1"/>
                <c:pt idx="0">
                  <c:v>HBL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Chart'!$A$14:$A$19</c:f>
              <c:strCache>
                <c:ptCount val="6"/>
                <c:pt idx="0">
                  <c:v>2019</c:v>
                </c:pt>
                <c:pt idx="1">
                  <c:v>2020</c:v>
                </c:pt>
                <c:pt idx="2">
                  <c:v>2021</c:v>
                </c:pt>
                <c:pt idx="3">
                  <c:v>2022</c:v>
                </c:pt>
                <c:pt idx="4">
                  <c:v>2023</c:v>
                </c:pt>
                <c:pt idx="5">
                  <c:v>2024</c:v>
                </c:pt>
              </c:strCache>
            </c:strRef>
          </c:cat>
          <c:val>
            <c:numRef>
              <c:f>'Trend Chart'!$D$14:$D$19</c:f>
              <c:numCache>
                <c:formatCode>0.00%</c:formatCode>
                <c:ptCount val="6"/>
                <c:pt idx="0">
                  <c:v>0.72945523870067697</c:v>
                </c:pt>
                <c:pt idx="1">
                  <c:v>0.5626153664831719</c:v>
                </c:pt>
                <c:pt idx="2">
                  <c:v>0.55783452896286134</c:v>
                </c:pt>
                <c:pt idx="3">
                  <c:v>0.58024744140236828</c:v>
                </c:pt>
                <c:pt idx="4">
                  <c:v>0.54937204147089647</c:v>
                </c:pt>
                <c:pt idx="5">
                  <c:v>0.54483537798153547</c:v>
                </c:pt>
              </c:numCache>
            </c:numRef>
          </c:val>
          <c:smooth val="0"/>
          <c:extLst>
            <c:ext xmlns:c16="http://schemas.microsoft.com/office/drawing/2014/chart" uri="{C3380CC4-5D6E-409C-BE32-E72D297353CC}">
              <c16:uniqueId val="{00000002-3269-4B23-9467-8AFA10B4EE68}"/>
            </c:ext>
          </c:extLst>
        </c:ser>
        <c:ser>
          <c:idx val="3"/>
          <c:order val="3"/>
          <c:tx>
            <c:strRef>
              <c:f>'Trend Chart'!$E$12:$E$13</c:f>
              <c:strCache>
                <c:ptCount val="1"/>
                <c:pt idx="0">
                  <c:v>JS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Chart'!$A$14:$A$19</c:f>
              <c:strCache>
                <c:ptCount val="6"/>
                <c:pt idx="0">
                  <c:v>2019</c:v>
                </c:pt>
                <c:pt idx="1">
                  <c:v>2020</c:v>
                </c:pt>
                <c:pt idx="2">
                  <c:v>2021</c:v>
                </c:pt>
                <c:pt idx="3">
                  <c:v>2022</c:v>
                </c:pt>
                <c:pt idx="4">
                  <c:v>2023</c:v>
                </c:pt>
                <c:pt idx="5">
                  <c:v>2024</c:v>
                </c:pt>
              </c:strCache>
            </c:strRef>
          </c:cat>
          <c:val>
            <c:numRef>
              <c:f>'Trend Chart'!$E$14:$E$19</c:f>
              <c:numCache>
                <c:formatCode>0.00%</c:formatCode>
                <c:ptCount val="6"/>
                <c:pt idx="0">
                  <c:v>0.98360734630195279</c:v>
                </c:pt>
                <c:pt idx="1">
                  <c:v>0.79125310083210731</c:v>
                </c:pt>
                <c:pt idx="2">
                  <c:v>0.74965436017625864</c:v>
                </c:pt>
                <c:pt idx="3">
                  <c:v>0.83096545679571687</c:v>
                </c:pt>
                <c:pt idx="4">
                  <c:v>0.66567904936815314</c:v>
                </c:pt>
                <c:pt idx="5">
                  <c:v>0.70748083743728685</c:v>
                </c:pt>
              </c:numCache>
            </c:numRef>
          </c:val>
          <c:smooth val="0"/>
          <c:extLst>
            <c:ext xmlns:c16="http://schemas.microsoft.com/office/drawing/2014/chart" uri="{C3380CC4-5D6E-409C-BE32-E72D297353CC}">
              <c16:uniqueId val="{00000003-3269-4B23-9467-8AFA10B4EE68}"/>
            </c:ext>
          </c:extLst>
        </c:ser>
        <c:ser>
          <c:idx val="4"/>
          <c:order val="4"/>
          <c:tx>
            <c:strRef>
              <c:f>'Trend Chart'!$F$12:$F$13</c:f>
              <c:strCache>
                <c:ptCount val="1"/>
                <c:pt idx="0">
                  <c:v>Meezan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Chart'!$A$14:$A$19</c:f>
              <c:strCache>
                <c:ptCount val="6"/>
                <c:pt idx="0">
                  <c:v>2019</c:v>
                </c:pt>
                <c:pt idx="1">
                  <c:v>2020</c:v>
                </c:pt>
                <c:pt idx="2">
                  <c:v>2021</c:v>
                </c:pt>
                <c:pt idx="3">
                  <c:v>2022</c:v>
                </c:pt>
                <c:pt idx="4">
                  <c:v>2023</c:v>
                </c:pt>
                <c:pt idx="5">
                  <c:v>2024</c:v>
                </c:pt>
              </c:strCache>
            </c:strRef>
          </c:cat>
          <c:val>
            <c:numRef>
              <c:f>'Trend Chart'!$F$14:$F$19</c:f>
              <c:numCache>
                <c:formatCode>0.00%</c:formatCode>
                <c:ptCount val="6"/>
                <c:pt idx="0">
                  <c:v>0.44451936048841911</c:v>
                </c:pt>
                <c:pt idx="1">
                  <c:v>0.38452028929757537</c:v>
                </c:pt>
                <c:pt idx="2">
                  <c:v>0.40991648434491157</c:v>
                </c:pt>
                <c:pt idx="3">
                  <c:v>0.32839199813156772</c:v>
                </c:pt>
                <c:pt idx="4">
                  <c:v>0.2731057055830825</c:v>
                </c:pt>
                <c:pt idx="5">
                  <c:v>0.25167851757914939</c:v>
                </c:pt>
              </c:numCache>
            </c:numRef>
          </c:val>
          <c:smooth val="0"/>
          <c:extLst>
            <c:ext xmlns:c16="http://schemas.microsoft.com/office/drawing/2014/chart" uri="{C3380CC4-5D6E-409C-BE32-E72D297353CC}">
              <c16:uniqueId val="{00000004-3269-4B23-9467-8AFA10B4EE68}"/>
            </c:ext>
          </c:extLst>
        </c:ser>
        <c:ser>
          <c:idx val="5"/>
          <c:order val="5"/>
          <c:tx>
            <c:strRef>
              <c:f>'Trend Chart'!$G$12:$G$13</c:f>
              <c:strCache>
                <c:ptCount val="1"/>
                <c:pt idx="0">
                  <c:v>Dubai Islamic Bank</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'Trend Chart'!$A$14:$A$19</c:f>
              <c:strCache>
                <c:ptCount val="6"/>
                <c:pt idx="0">
                  <c:v>2019</c:v>
                </c:pt>
                <c:pt idx="1">
                  <c:v>2020</c:v>
                </c:pt>
                <c:pt idx="2">
                  <c:v>2021</c:v>
                </c:pt>
                <c:pt idx="3">
                  <c:v>2022</c:v>
                </c:pt>
                <c:pt idx="4">
                  <c:v>2023</c:v>
                </c:pt>
                <c:pt idx="5">
                  <c:v>2024</c:v>
                </c:pt>
              </c:strCache>
            </c:strRef>
          </c:cat>
          <c:val>
            <c:numRef>
              <c:f>'Trend Chart'!$G$14:$G$19</c:f>
              <c:numCache>
                <c:formatCode>0.00%</c:formatCode>
                <c:ptCount val="6"/>
                <c:pt idx="0">
                  <c:v>0.50127522530711888</c:v>
                </c:pt>
                <c:pt idx="1">
                  <c:v>0.51211800168638166</c:v>
                </c:pt>
                <c:pt idx="2">
                  <c:v>0.53271571235283965</c:v>
                </c:pt>
                <c:pt idx="3">
                  <c:v>0.44149117673344035</c:v>
                </c:pt>
                <c:pt idx="4">
                  <c:v>0.36239832474331835</c:v>
                </c:pt>
                <c:pt idx="5">
                  <c:v>0.46307911691310877</c:v>
                </c:pt>
              </c:numCache>
            </c:numRef>
          </c:val>
          <c:smooth val="0"/>
          <c:extLst>
            <c:ext xmlns:c16="http://schemas.microsoft.com/office/drawing/2014/chart" uri="{C3380CC4-5D6E-409C-BE32-E72D297353CC}">
              <c16:uniqueId val="{00000005-3269-4B23-9467-8AFA10B4EE68}"/>
            </c:ext>
          </c:extLst>
        </c:ser>
        <c:dLbls>
          <c:showLegendKey val="0"/>
          <c:showVal val="0"/>
          <c:showCatName val="0"/>
          <c:showSerName val="0"/>
          <c:showPercent val="0"/>
          <c:showBubbleSize val="0"/>
        </c:dLbls>
        <c:marker val="1"/>
        <c:smooth val="0"/>
        <c:axId val="541966064"/>
        <c:axId val="541963184"/>
      </c:lineChart>
      <c:catAx>
        <c:axId val="541966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layout>
            <c:manualLayout>
              <c:xMode val="edge"/>
              <c:yMode val="edge"/>
              <c:x val="0.69170580994649022"/>
              <c:y val="0.931559857125743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41963184"/>
        <c:crosses val="autoZero"/>
        <c:auto val="1"/>
        <c:lblAlgn val="ctr"/>
        <c:lblOffset val="100"/>
        <c:noMultiLvlLbl val="0"/>
      </c:catAx>
      <c:valAx>
        <c:axId val="54196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a:t>
                </a:r>
                <a:r>
                  <a:rPr lang="en-US" baseline="0"/>
                  <a:t> ti Income Ratio</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419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[Bank_Research_Master.xlsx]Trend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ROA</a:t>
            </a:r>
            <a:r>
              <a:rPr lang="en-US" baseline="0"/>
              <a:t> Trend (2019 - 2024)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Chart'!$B$21:$B$22</c:f>
              <c:strCache>
                <c:ptCount val="1"/>
                <c:pt idx="0">
                  <c:v>Askari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Chart'!$A$23:$A$28</c:f>
              <c:strCache>
                <c:ptCount val="6"/>
                <c:pt idx="0">
                  <c:v>2019</c:v>
                </c:pt>
                <c:pt idx="1">
                  <c:v>2020</c:v>
                </c:pt>
                <c:pt idx="2">
                  <c:v>2021</c:v>
                </c:pt>
                <c:pt idx="3">
                  <c:v>2022</c:v>
                </c:pt>
                <c:pt idx="4">
                  <c:v>2023</c:v>
                </c:pt>
                <c:pt idx="5">
                  <c:v>2024</c:v>
                </c:pt>
              </c:strCache>
            </c:strRef>
          </c:cat>
          <c:val>
            <c:numRef>
              <c:f>'Trend Chart'!$B$23:$B$28</c:f>
              <c:numCache>
                <c:formatCode>0.00%</c:formatCode>
                <c:ptCount val="6"/>
                <c:pt idx="0">
                  <c:v>8.4216929619852932E-3</c:v>
                </c:pt>
                <c:pt idx="1">
                  <c:v>1.0881802856100423E-2</c:v>
                </c:pt>
                <c:pt idx="2">
                  <c:v>7.7047463675184455E-3</c:v>
                </c:pt>
                <c:pt idx="3">
                  <c:v>9.2138681471541344E-3</c:v>
                </c:pt>
                <c:pt idx="4">
                  <c:v>1.0091619050867267E-2</c:v>
                </c:pt>
                <c:pt idx="5">
                  <c:v>8.4145405271665464E-3</c:v>
                </c:pt>
              </c:numCache>
            </c:numRef>
          </c:val>
          <c:smooth val="0"/>
          <c:extLst>
            <c:ext xmlns:c16="http://schemas.microsoft.com/office/drawing/2014/chart" uri="{C3380CC4-5D6E-409C-BE32-E72D297353CC}">
              <c16:uniqueId val="{00000000-D6D1-4DFF-A2EA-B320AB15D87F}"/>
            </c:ext>
          </c:extLst>
        </c:ser>
        <c:ser>
          <c:idx val="1"/>
          <c:order val="1"/>
          <c:tx>
            <c:strRef>
              <c:f>'Trend Chart'!$C$21:$C$22</c:f>
              <c:strCache>
                <c:ptCount val="1"/>
                <c:pt idx="0">
                  <c:v>BankIslami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'Trend Chart'!$A$23:$A$28</c:f>
              <c:strCache>
                <c:ptCount val="6"/>
                <c:pt idx="0">
                  <c:v>2019</c:v>
                </c:pt>
                <c:pt idx="1">
                  <c:v>2020</c:v>
                </c:pt>
                <c:pt idx="2">
                  <c:v>2021</c:v>
                </c:pt>
                <c:pt idx="3">
                  <c:v>2022</c:v>
                </c:pt>
                <c:pt idx="4">
                  <c:v>2023</c:v>
                </c:pt>
                <c:pt idx="5">
                  <c:v>2024</c:v>
                </c:pt>
              </c:strCache>
            </c:strRef>
          </c:cat>
          <c:val>
            <c:numRef>
              <c:f>'Trend Chart'!$C$23:$C$28</c:f>
              <c:numCache>
                <c:formatCode>0.00%</c:formatCode>
                <c:ptCount val="6"/>
                <c:pt idx="0">
                  <c:v>3.8408741296527679E-3</c:v>
                </c:pt>
                <c:pt idx="1">
                  <c:v>5.0643731309432047E-3</c:v>
                </c:pt>
                <c:pt idx="2">
                  <c:v>5.2189061728013077E-3</c:v>
                </c:pt>
                <c:pt idx="3">
                  <c:v>9.1118198245135947E-3</c:v>
                </c:pt>
                <c:pt idx="4">
                  <c:v>1.68661997325938E-2</c:v>
                </c:pt>
                <c:pt idx="5">
                  <c:v>1.6038215369642245E-2</c:v>
                </c:pt>
              </c:numCache>
            </c:numRef>
          </c:val>
          <c:smooth val="0"/>
          <c:extLst>
            <c:ext xmlns:c16="http://schemas.microsoft.com/office/drawing/2014/chart" uri="{C3380CC4-5D6E-409C-BE32-E72D297353CC}">
              <c16:uniqueId val="{00000001-D6D1-4DFF-A2EA-B320AB15D87F}"/>
            </c:ext>
          </c:extLst>
        </c:ser>
        <c:ser>
          <c:idx val="2"/>
          <c:order val="2"/>
          <c:tx>
            <c:strRef>
              <c:f>'Trend Chart'!$D$21:$D$22</c:f>
              <c:strCache>
                <c:ptCount val="1"/>
                <c:pt idx="0">
                  <c:v>HBL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'Trend Chart'!$A$23:$A$28</c:f>
              <c:strCache>
                <c:ptCount val="6"/>
                <c:pt idx="0">
                  <c:v>2019</c:v>
                </c:pt>
                <c:pt idx="1">
                  <c:v>2020</c:v>
                </c:pt>
                <c:pt idx="2">
                  <c:v>2021</c:v>
                </c:pt>
                <c:pt idx="3">
                  <c:v>2022</c:v>
                </c:pt>
                <c:pt idx="4">
                  <c:v>2023</c:v>
                </c:pt>
                <c:pt idx="5">
                  <c:v>2024</c:v>
                </c:pt>
              </c:strCache>
            </c:strRef>
          </c:cat>
          <c:val>
            <c:numRef>
              <c:f>'Trend Chart'!$D$23:$D$28</c:f>
              <c:numCache>
                <c:formatCode>0.00%</c:formatCode>
                <c:ptCount val="6"/>
                <c:pt idx="0">
                  <c:v>4.9330394259816798E-3</c:v>
                </c:pt>
                <c:pt idx="1">
                  <c:v>8.6515302039317198E-3</c:v>
                </c:pt>
                <c:pt idx="2">
                  <c:v>8.4110325430024578E-3</c:v>
                </c:pt>
                <c:pt idx="3">
                  <c:v>7.0875582307965432E-3</c:v>
                </c:pt>
                <c:pt idx="4">
                  <c:v>1.0930332429397364E-2</c:v>
                </c:pt>
                <c:pt idx="5">
                  <c:v>1.0029644260656292E-2</c:v>
                </c:pt>
              </c:numCache>
            </c:numRef>
          </c:val>
          <c:smooth val="0"/>
          <c:extLst>
            <c:ext xmlns:c16="http://schemas.microsoft.com/office/drawing/2014/chart" uri="{C3380CC4-5D6E-409C-BE32-E72D297353CC}">
              <c16:uniqueId val="{00000002-D6D1-4DFF-A2EA-B320AB15D87F}"/>
            </c:ext>
          </c:extLst>
        </c:ser>
        <c:ser>
          <c:idx val="3"/>
          <c:order val="3"/>
          <c:tx>
            <c:strRef>
              <c:f>'Trend Chart'!$E$21:$E$22</c:f>
              <c:strCache>
                <c:ptCount val="1"/>
                <c:pt idx="0">
                  <c:v>JS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'Trend Chart'!$A$23:$A$28</c:f>
              <c:strCache>
                <c:ptCount val="6"/>
                <c:pt idx="0">
                  <c:v>2019</c:v>
                </c:pt>
                <c:pt idx="1">
                  <c:v>2020</c:v>
                </c:pt>
                <c:pt idx="2">
                  <c:v>2021</c:v>
                </c:pt>
                <c:pt idx="3">
                  <c:v>2022</c:v>
                </c:pt>
                <c:pt idx="4">
                  <c:v>2023</c:v>
                </c:pt>
                <c:pt idx="5">
                  <c:v>2024</c:v>
                </c:pt>
              </c:strCache>
            </c:strRef>
          </c:cat>
          <c:val>
            <c:numRef>
              <c:f>'Trend Chart'!$E$23:$E$28</c:f>
              <c:numCache>
                <c:formatCode>0.00%</c:formatCode>
                <c:ptCount val="6"/>
                <c:pt idx="0">
                  <c:v>5.2405584361007029E-5</c:v>
                </c:pt>
                <c:pt idx="1">
                  <c:v>2.1610828370828374E-3</c:v>
                </c:pt>
                <c:pt idx="2">
                  <c:v>2.2324437494746392E-3</c:v>
                </c:pt>
                <c:pt idx="3">
                  <c:v>1.5643810005596859E-3</c:v>
                </c:pt>
                <c:pt idx="4">
                  <c:v>7.3543930965539054E-3</c:v>
                </c:pt>
                <c:pt idx="5">
                  <c:v>4.4779648705412997E-3</c:v>
                </c:pt>
              </c:numCache>
            </c:numRef>
          </c:val>
          <c:smooth val="0"/>
          <c:extLst>
            <c:ext xmlns:c16="http://schemas.microsoft.com/office/drawing/2014/chart" uri="{C3380CC4-5D6E-409C-BE32-E72D297353CC}">
              <c16:uniqueId val="{00000003-D6D1-4DFF-A2EA-B320AB15D87F}"/>
            </c:ext>
          </c:extLst>
        </c:ser>
        <c:ser>
          <c:idx val="4"/>
          <c:order val="4"/>
          <c:tx>
            <c:strRef>
              <c:f>'Trend Chart'!$F$21:$F$22</c:f>
              <c:strCache>
                <c:ptCount val="1"/>
                <c:pt idx="0">
                  <c:v>Meezan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'Trend Chart'!$A$23:$A$28</c:f>
              <c:strCache>
                <c:ptCount val="6"/>
                <c:pt idx="0">
                  <c:v>2019</c:v>
                </c:pt>
                <c:pt idx="1">
                  <c:v>2020</c:v>
                </c:pt>
                <c:pt idx="2">
                  <c:v>2021</c:v>
                </c:pt>
                <c:pt idx="3">
                  <c:v>2022</c:v>
                </c:pt>
                <c:pt idx="4">
                  <c:v>2023</c:v>
                </c:pt>
                <c:pt idx="5">
                  <c:v>2024</c:v>
                </c:pt>
              </c:strCache>
            </c:strRef>
          </c:cat>
          <c:val>
            <c:numRef>
              <c:f>'Trend Chart'!$F$23:$F$28</c:f>
              <c:numCache>
                <c:formatCode>0.00%</c:formatCode>
                <c:ptCount val="6"/>
                <c:pt idx="0">
                  <c:v>1.3584804344280886E-2</c:v>
                </c:pt>
                <c:pt idx="1">
                  <c:v>1.4567689623050901E-2</c:v>
                </c:pt>
                <c:pt idx="2">
                  <c:v>1.4900464084746623E-2</c:v>
                </c:pt>
                <c:pt idx="3">
                  <c:v>1.7462036728101735E-2</c:v>
                </c:pt>
                <c:pt idx="4">
                  <c:v>2.8045349227076397E-2</c:v>
                </c:pt>
                <c:pt idx="5">
                  <c:v>2.6024825438090399E-2</c:v>
                </c:pt>
              </c:numCache>
            </c:numRef>
          </c:val>
          <c:smooth val="0"/>
          <c:extLst>
            <c:ext xmlns:c16="http://schemas.microsoft.com/office/drawing/2014/chart" uri="{C3380CC4-5D6E-409C-BE32-E72D297353CC}">
              <c16:uniqueId val="{00000004-D6D1-4DFF-A2EA-B320AB15D87F}"/>
            </c:ext>
          </c:extLst>
        </c:ser>
        <c:ser>
          <c:idx val="5"/>
          <c:order val="5"/>
          <c:tx>
            <c:strRef>
              <c:f>'Trend Chart'!$G$21:$G$22</c:f>
              <c:strCache>
                <c:ptCount val="1"/>
                <c:pt idx="0">
                  <c:v>Dubai Islamic Bank</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'Trend Chart'!$A$23:$A$28</c:f>
              <c:strCache>
                <c:ptCount val="6"/>
                <c:pt idx="0">
                  <c:v>2019</c:v>
                </c:pt>
                <c:pt idx="1">
                  <c:v>2020</c:v>
                </c:pt>
                <c:pt idx="2">
                  <c:v>2021</c:v>
                </c:pt>
                <c:pt idx="3">
                  <c:v>2022</c:v>
                </c:pt>
                <c:pt idx="4">
                  <c:v>2023</c:v>
                </c:pt>
                <c:pt idx="5">
                  <c:v>2024</c:v>
                </c:pt>
              </c:strCache>
            </c:strRef>
          </c:cat>
          <c:val>
            <c:numRef>
              <c:f>'Trend Chart'!$G$23:$G$28</c:f>
              <c:numCache>
                <c:formatCode>0.00%</c:formatCode>
                <c:ptCount val="6"/>
                <c:pt idx="0">
                  <c:v>1.2642134489985886E-2</c:v>
                </c:pt>
                <c:pt idx="1">
                  <c:v>9.5425389417934086E-3</c:v>
                </c:pt>
                <c:pt idx="2">
                  <c:v>8.7895793215341331E-3</c:v>
                </c:pt>
                <c:pt idx="3">
                  <c:v>8.7913288093717651E-3</c:v>
                </c:pt>
                <c:pt idx="4">
                  <c:v>1.5590018051850434E-2</c:v>
                </c:pt>
                <c:pt idx="5">
                  <c:v>1.4731169609882562E-2</c:v>
                </c:pt>
              </c:numCache>
            </c:numRef>
          </c:val>
          <c:smooth val="0"/>
          <c:extLst>
            <c:ext xmlns:c16="http://schemas.microsoft.com/office/drawing/2014/chart" uri="{C3380CC4-5D6E-409C-BE32-E72D297353CC}">
              <c16:uniqueId val="{00000005-D6D1-4DFF-A2EA-B320AB15D87F}"/>
            </c:ext>
          </c:extLst>
        </c:ser>
        <c:dLbls>
          <c:showLegendKey val="0"/>
          <c:showVal val="0"/>
          <c:showCatName val="0"/>
          <c:showSerName val="0"/>
          <c:showPercent val="0"/>
          <c:showBubbleSize val="0"/>
        </c:dLbls>
        <c:marker val="1"/>
        <c:smooth val="0"/>
        <c:axId val="604259272"/>
        <c:axId val="604264672"/>
      </c:lineChart>
      <c:catAx>
        <c:axId val="604259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264672"/>
        <c:crosses val="autoZero"/>
        <c:auto val="1"/>
        <c:lblAlgn val="ctr"/>
        <c:lblOffset val="100"/>
        <c:noMultiLvlLbl val="0"/>
      </c:catAx>
      <c:valAx>
        <c:axId val="60426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259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Operating Expense Ratio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barChart>
        <c:barDir val="col"/>
        <c:grouping val="clustered"/>
        <c:varyColors val="0"/>
        <c:ser>
          <c:idx val="0"/>
          <c:order val="0"/>
          <c:tx>
            <c:strRef>
              <c:f>'Comparison Charts'!$B$2</c:f>
              <c:strCache>
                <c:ptCount val="1"/>
                <c:pt idx="0">
                  <c:v>Islamic Average</c:v>
                </c:pt>
              </c:strCache>
            </c:strRef>
          </c:tx>
          <c:spPr>
            <a:solidFill>
              <a:schemeClr val="accent1"/>
            </a:solidFill>
            <a:ln>
              <a:noFill/>
            </a:ln>
            <a:effectLst/>
          </c:spPr>
          <c:invertIfNegative val="0"/>
          <c:cat>
            <c:numRef>
              <c:f>'Comparison Charts'!$A$3:$A$8</c:f>
              <c:numCache>
                <c:formatCode>General</c:formatCode>
                <c:ptCount val="6"/>
                <c:pt idx="0">
                  <c:v>2019</c:v>
                </c:pt>
                <c:pt idx="1">
                  <c:v>2020</c:v>
                </c:pt>
                <c:pt idx="2">
                  <c:v>2021</c:v>
                </c:pt>
                <c:pt idx="3">
                  <c:v>2022</c:v>
                </c:pt>
                <c:pt idx="4">
                  <c:v>2023</c:v>
                </c:pt>
                <c:pt idx="5">
                  <c:v>2024</c:v>
                </c:pt>
              </c:numCache>
            </c:numRef>
          </c:cat>
          <c:val>
            <c:numRef>
              <c:f>'Comparison Charts'!$B$3:$B$8</c:f>
              <c:numCache>
                <c:formatCode>0.00%</c:formatCode>
                <c:ptCount val="6"/>
                <c:pt idx="0">
                  <c:v>2.4860276788580882E-2</c:v>
                </c:pt>
                <c:pt idx="1">
                  <c:v>2.2914072077917246E-2</c:v>
                </c:pt>
                <c:pt idx="2">
                  <c:v>2.1670443257360089E-2</c:v>
                </c:pt>
                <c:pt idx="3">
                  <c:v>2.1617407330689318E-2</c:v>
                </c:pt>
                <c:pt idx="4">
                  <c:v>2.5331404175067396E-2</c:v>
                </c:pt>
                <c:pt idx="5">
                  <c:v>2.8464004360349529E-2</c:v>
                </c:pt>
              </c:numCache>
            </c:numRef>
          </c:val>
          <c:extLst>
            <c:ext xmlns:c16="http://schemas.microsoft.com/office/drawing/2014/chart" uri="{C3380CC4-5D6E-409C-BE32-E72D297353CC}">
              <c16:uniqueId val="{00000000-7E9E-456C-96DB-BCAEB043B067}"/>
            </c:ext>
          </c:extLst>
        </c:ser>
        <c:ser>
          <c:idx val="1"/>
          <c:order val="1"/>
          <c:tx>
            <c:strRef>
              <c:f>'Comparison Charts'!$C$2</c:f>
              <c:strCache>
                <c:ptCount val="1"/>
                <c:pt idx="0">
                  <c:v>Conventional Average</c:v>
                </c:pt>
              </c:strCache>
            </c:strRef>
          </c:tx>
          <c:spPr>
            <a:solidFill>
              <a:schemeClr val="accent2"/>
            </a:solidFill>
            <a:ln>
              <a:noFill/>
            </a:ln>
            <a:effectLst/>
          </c:spPr>
          <c:invertIfNegative val="0"/>
          <c:cat>
            <c:numRef>
              <c:f>'Comparison Charts'!$A$3:$A$8</c:f>
              <c:numCache>
                <c:formatCode>General</c:formatCode>
                <c:ptCount val="6"/>
                <c:pt idx="0">
                  <c:v>2019</c:v>
                </c:pt>
                <c:pt idx="1">
                  <c:v>2020</c:v>
                </c:pt>
                <c:pt idx="2">
                  <c:v>2021</c:v>
                </c:pt>
                <c:pt idx="3">
                  <c:v>2022</c:v>
                </c:pt>
                <c:pt idx="4">
                  <c:v>2023</c:v>
                </c:pt>
                <c:pt idx="5">
                  <c:v>2024</c:v>
                </c:pt>
              </c:numCache>
            </c:numRef>
          </c:cat>
          <c:val>
            <c:numRef>
              <c:f>'Comparison Charts'!$C$3:$C$8</c:f>
              <c:numCache>
                <c:formatCode>0.00%</c:formatCode>
                <c:ptCount val="6"/>
                <c:pt idx="0">
                  <c:v>2.3970203878276256E-2</c:v>
                </c:pt>
                <c:pt idx="1">
                  <c:v>2.2519950517987251E-2</c:v>
                </c:pt>
                <c:pt idx="2">
                  <c:v>1.971015253103962E-2</c:v>
                </c:pt>
                <c:pt idx="3">
                  <c:v>2.2438599136286288E-2</c:v>
                </c:pt>
                <c:pt idx="4">
                  <c:v>2.7276143312072749E-2</c:v>
                </c:pt>
                <c:pt idx="5">
                  <c:v>2.9105304964611538E-2</c:v>
                </c:pt>
              </c:numCache>
            </c:numRef>
          </c:val>
          <c:extLst>
            <c:ext xmlns:c16="http://schemas.microsoft.com/office/drawing/2014/chart" uri="{C3380CC4-5D6E-409C-BE32-E72D297353CC}">
              <c16:uniqueId val="{00000001-7E9E-456C-96DB-BCAEB043B067}"/>
            </c:ext>
          </c:extLst>
        </c:ser>
        <c:dLbls>
          <c:showLegendKey val="0"/>
          <c:showVal val="0"/>
          <c:showCatName val="0"/>
          <c:showSerName val="0"/>
          <c:showPercent val="0"/>
          <c:showBubbleSize val="0"/>
        </c:dLbls>
        <c:gapWidth val="219"/>
        <c:overlap val="-27"/>
        <c:axId val="541969664"/>
        <c:axId val="541970744"/>
      </c:barChart>
      <c:catAx>
        <c:axId val="5419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41970744"/>
        <c:crosses val="autoZero"/>
        <c:auto val="1"/>
        <c:lblAlgn val="ctr"/>
        <c:lblOffset val="100"/>
        <c:noMultiLvlLbl val="0"/>
      </c:catAx>
      <c:valAx>
        <c:axId val="541970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4196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to</a:t>
            </a:r>
            <a:r>
              <a:rPr lang="en-US" baseline="0"/>
              <a:t> Income Ratio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'Comparison Charts'!$F$2</c:f>
              <c:strCache>
                <c:ptCount val="1"/>
                <c:pt idx="0">
                  <c:v>Islamic Average</c:v>
                </c:pt>
              </c:strCache>
            </c:strRef>
          </c:tx>
          <c:spPr>
            <a:solidFill>
              <a:schemeClr val="accent1"/>
            </a:solidFill>
            <a:ln>
              <a:noFill/>
            </a:ln>
            <a:effectLst/>
          </c:spPr>
          <c:invertIfNegative val="0"/>
          <c:cat>
            <c:numRef>
              <c:f>'Comparison Charts'!$E$3:$E$8</c:f>
              <c:numCache>
                <c:formatCode>General</c:formatCode>
                <c:ptCount val="6"/>
                <c:pt idx="0">
                  <c:v>2019</c:v>
                </c:pt>
                <c:pt idx="1">
                  <c:v>2020</c:v>
                </c:pt>
                <c:pt idx="2">
                  <c:v>2021</c:v>
                </c:pt>
                <c:pt idx="3">
                  <c:v>2022</c:v>
                </c:pt>
                <c:pt idx="4">
                  <c:v>2023</c:v>
                </c:pt>
                <c:pt idx="5">
                  <c:v>2024</c:v>
                </c:pt>
              </c:numCache>
            </c:numRef>
          </c:cat>
          <c:val>
            <c:numRef>
              <c:f>'Comparison Charts'!$F$3:$F$8</c:f>
              <c:numCache>
                <c:formatCode>0.00%</c:formatCode>
                <c:ptCount val="6"/>
                <c:pt idx="0">
                  <c:v>0.52242919801599774</c:v>
                </c:pt>
                <c:pt idx="1">
                  <c:v>0.50132060213897633</c:v>
                </c:pt>
                <c:pt idx="2">
                  <c:v>0.55810407292949515</c:v>
                </c:pt>
                <c:pt idx="3">
                  <c:v>0.4201356426008036</c:v>
                </c:pt>
                <c:pt idx="4">
                  <c:v>0.33567960377732958</c:v>
                </c:pt>
                <c:pt idx="5">
                  <c:v>0.38314796551606539</c:v>
                </c:pt>
              </c:numCache>
            </c:numRef>
          </c:val>
          <c:extLst>
            <c:ext xmlns:c16="http://schemas.microsoft.com/office/drawing/2014/chart" uri="{C3380CC4-5D6E-409C-BE32-E72D297353CC}">
              <c16:uniqueId val="{00000000-0491-42B3-8E04-61BA55D7F9DF}"/>
            </c:ext>
          </c:extLst>
        </c:ser>
        <c:ser>
          <c:idx val="1"/>
          <c:order val="1"/>
          <c:tx>
            <c:strRef>
              <c:f>'Comparison Charts'!$G$2</c:f>
              <c:strCache>
                <c:ptCount val="1"/>
                <c:pt idx="0">
                  <c:v>Conventional Average</c:v>
                </c:pt>
              </c:strCache>
            </c:strRef>
          </c:tx>
          <c:spPr>
            <a:solidFill>
              <a:schemeClr val="accent2"/>
            </a:solidFill>
            <a:ln>
              <a:noFill/>
            </a:ln>
            <a:effectLst/>
          </c:spPr>
          <c:invertIfNegative val="0"/>
          <c:cat>
            <c:numRef>
              <c:f>'Comparison Charts'!$E$3:$E$8</c:f>
              <c:numCache>
                <c:formatCode>General</c:formatCode>
                <c:ptCount val="6"/>
                <c:pt idx="0">
                  <c:v>2019</c:v>
                </c:pt>
                <c:pt idx="1">
                  <c:v>2020</c:v>
                </c:pt>
                <c:pt idx="2">
                  <c:v>2021</c:v>
                </c:pt>
                <c:pt idx="3">
                  <c:v>2022</c:v>
                </c:pt>
                <c:pt idx="4">
                  <c:v>2023</c:v>
                </c:pt>
                <c:pt idx="5">
                  <c:v>2024</c:v>
                </c:pt>
              </c:numCache>
            </c:numRef>
          </c:cat>
          <c:val>
            <c:numRef>
              <c:f>'Comparison Charts'!$G$3:$G$8</c:f>
              <c:numCache>
                <c:formatCode>0.00%</c:formatCode>
                <c:ptCount val="6"/>
                <c:pt idx="0">
                  <c:v>0.77679144225810093</c:v>
                </c:pt>
                <c:pt idx="1">
                  <c:v>0.61916735270873102</c:v>
                </c:pt>
                <c:pt idx="2">
                  <c:v>0.60250299426257647</c:v>
                </c:pt>
                <c:pt idx="3">
                  <c:v>0.61627289323542478</c:v>
                </c:pt>
                <c:pt idx="4">
                  <c:v>0.53662685867763471</c:v>
                </c:pt>
                <c:pt idx="5">
                  <c:v>0.56737206971279219</c:v>
                </c:pt>
              </c:numCache>
            </c:numRef>
          </c:val>
          <c:extLst>
            <c:ext xmlns:c16="http://schemas.microsoft.com/office/drawing/2014/chart" uri="{C3380CC4-5D6E-409C-BE32-E72D297353CC}">
              <c16:uniqueId val="{00000001-0491-42B3-8E04-61BA55D7F9DF}"/>
            </c:ext>
          </c:extLst>
        </c:ser>
        <c:dLbls>
          <c:showLegendKey val="0"/>
          <c:showVal val="0"/>
          <c:showCatName val="0"/>
          <c:showSerName val="0"/>
          <c:showPercent val="0"/>
          <c:showBubbleSize val="0"/>
        </c:dLbls>
        <c:gapWidth val="219"/>
        <c:overlap val="-27"/>
        <c:axId val="604262872"/>
        <c:axId val="604266112"/>
      </c:barChart>
      <c:catAx>
        <c:axId val="60426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266112"/>
        <c:crosses val="autoZero"/>
        <c:auto val="1"/>
        <c:lblAlgn val="ctr"/>
        <c:lblOffset val="100"/>
        <c:noMultiLvlLbl val="0"/>
      </c:catAx>
      <c:valAx>
        <c:axId val="604266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262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a:t>
            </a:r>
            <a:r>
              <a:rPr lang="en-US" baseline="0"/>
              <a:t> to Asset Ratio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barChart>
        <c:barDir val="col"/>
        <c:grouping val="clustered"/>
        <c:varyColors val="0"/>
        <c:ser>
          <c:idx val="0"/>
          <c:order val="0"/>
          <c:tx>
            <c:strRef>
              <c:f>'Comparison Charts'!$B$15</c:f>
              <c:strCache>
                <c:ptCount val="1"/>
                <c:pt idx="0">
                  <c:v>Islamic Average</c:v>
                </c:pt>
              </c:strCache>
            </c:strRef>
          </c:tx>
          <c:spPr>
            <a:solidFill>
              <a:schemeClr val="accent1"/>
            </a:solidFill>
            <a:ln>
              <a:noFill/>
            </a:ln>
            <a:effectLst/>
          </c:spPr>
          <c:invertIfNegative val="0"/>
          <c:cat>
            <c:numRef>
              <c:f>'Comparison Charts'!$A$16:$A$21</c:f>
              <c:numCache>
                <c:formatCode>General</c:formatCode>
                <c:ptCount val="6"/>
                <c:pt idx="0">
                  <c:v>2019</c:v>
                </c:pt>
                <c:pt idx="1">
                  <c:v>2020</c:v>
                </c:pt>
                <c:pt idx="2">
                  <c:v>2021</c:v>
                </c:pt>
                <c:pt idx="3">
                  <c:v>2022</c:v>
                </c:pt>
                <c:pt idx="4">
                  <c:v>2023</c:v>
                </c:pt>
                <c:pt idx="5">
                  <c:v>2024</c:v>
                </c:pt>
              </c:numCache>
            </c:numRef>
          </c:cat>
          <c:val>
            <c:numRef>
              <c:f>'Comparison Charts'!$B$16:$B$21</c:f>
              <c:numCache>
                <c:formatCode>0.00%</c:formatCode>
                <c:ptCount val="6"/>
                <c:pt idx="0">
                  <c:v>6.9103630905758606E-2</c:v>
                </c:pt>
                <c:pt idx="1">
                  <c:v>7.2677465133973926E-2</c:v>
                </c:pt>
                <c:pt idx="2">
                  <c:v>7.4337249257655946E-2</c:v>
                </c:pt>
                <c:pt idx="3">
                  <c:v>7.6725433008629745E-2</c:v>
                </c:pt>
                <c:pt idx="4">
                  <c:v>7.0216959094323586E-2</c:v>
                </c:pt>
                <c:pt idx="5">
                  <c:v>6.3247015811179016E-2</c:v>
                </c:pt>
              </c:numCache>
            </c:numRef>
          </c:val>
          <c:extLst>
            <c:ext xmlns:c16="http://schemas.microsoft.com/office/drawing/2014/chart" uri="{C3380CC4-5D6E-409C-BE32-E72D297353CC}">
              <c16:uniqueId val="{00000000-1EF6-4E41-8E58-AC19989B3BCA}"/>
            </c:ext>
          </c:extLst>
        </c:ser>
        <c:ser>
          <c:idx val="1"/>
          <c:order val="1"/>
          <c:tx>
            <c:strRef>
              <c:f>'Comparison Charts'!$C$15</c:f>
              <c:strCache>
                <c:ptCount val="1"/>
                <c:pt idx="0">
                  <c:v>Conventional Average</c:v>
                </c:pt>
              </c:strCache>
            </c:strRef>
          </c:tx>
          <c:spPr>
            <a:solidFill>
              <a:schemeClr val="accent2"/>
            </a:solidFill>
            <a:ln>
              <a:noFill/>
            </a:ln>
            <a:effectLst/>
          </c:spPr>
          <c:invertIfNegative val="0"/>
          <c:cat>
            <c:numRef>
              <c:f>'Comparison Charts'!$A$16:$A$21</c:f>
              <c:numCache>
                <c:formatCode>General</c:formatCode>
                <c:ptCount val="6"/>
                <c:pt idx="0">
                  <c:v>2019</c:v>
                </c:pt>
                <c:pt idx="1">
                  <c:v>2020</c:v>
                </c:pt>
                <c:pt idx="2">
                  <c:v>2021</c:v>
                </c:pt>
                <c:pt idx="3">
                  <c:v>2022</c:v>
                </c:pt>
                <c:pt idx="4">
                  <c:v>2023</c:v>
                </c:pt>
                <c:pt idx="5">
                  <c:v>2024</c:v>
                </c:pt>
              </c:numCache>
            </c:numRef>
          </c:cat>
          <c:val>
            <c:numRef>
              <c:f>'Comparison Charts'!$C$16:$C$21</c:f>
              <c:numCache>
                <c:formatCode>0.00%</c:formatCode>
                <c:ptCount val="6"/>
                <c:pt idx="0">
                  <c:v>8.0163455018429863E-2</c:v>
                </c:pt>
                <c:pt idx="1">
                  <c:v>7.5625197754396523E-2</c:v>
                </c:pt>
                <c:pt idx="2">
                  <c:v>7.6727125282670477E-2</c:v>
                </c:pt>
                <c:pt idx="3">
                  <c:v>4.8580710747353567E-2</c:v>
                </c:pt>
                <c:pt idx="4">
                  <c:v>8.0623292245352404E-2</c:v>
                </c:pt>
                <c:pt idx="5">
                  <c:v>6.5178360976996266E-2</c:v>
                </c:pt>
              </c:numCache>
            </c:numRef>
          </c:val>
          <c:extLst>
            <c:ext xmlns:c16="http://schemas.microsoft.com/office/drawing/2014/chart" uri="{C3380CC4-5D6E-409C-BE32-E72D297353CC}">
              <c16:uniqueId val="{00000001-1EF6-4E41-8E58-AC19989B3BCA}"/>
            </c:ext>
          </c:extLst>
        </c:ser>
        <c:dLbls>
          <c:showLegendKey val="0"/>
          <c:showVal val="0"/>
          <c:showCatName val="0"/>
          <c:showSerName val="0"/>
          <c:showPercent val="0"/>
          <c:showBubbleSize val="0"/>
        </c:dLbls>
        <c:gapWidth val="219"/>
        <c:overlap val="-27"/>
        <c:axId val="604266832"/>
        <c:axId val="604262512"/>
      </c:barChart>
      <c:catAx>
        <c:axId val="60426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262512"/>
        <c:crosses val="autoZero"/>
        <c:auto val="1"/>
        <c:lblAlgn val="ctr"/>
        <c:lblOffset val="100"/>
        <c:noMultiLvlLbl val="0"/>
      </c:catAx>
      <c:valAx>
        <c:axId val="604262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0426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[Bank_Research_Master.xlsx]Staff Comparison!PivotTable1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 Comparison'!$B$3:$B$4</c:f>
              <c:strCache>
                <c:ptCount val="1"/>
                <c:pt idx="0">
                  <c:v>2019</c:v>
                </c:pt>
              </c:strCache>
            </c:strRef>
          </c:tx>
          <c:spPr>
            <a:solidFill>
              <a:schemeClr val="accent1"/>
            </a:solidFill>
            <a:ln>
              <a:noFill/>
            </a:ln>
            <a:effectLst/>
          </c:spPr>
          <c:invertIfNegative val="0"/>
          <c:cat>
            <c:strRef>
              <c:f>'Staff Comparison'!$A$5:$A$10</c:f>
              <c:strCache>
                <c:ptCount val="6"/>
                <c:pt idx="0">
                  <c:v>Askari</c:v>
                </c:pt>
                <c:pt idx="1">
                  <c:v>BankIslami</c:v>
                </c:pt>
                <c:pt idx="2">
                  <c:v>Dubai Islamic Bank</c:v>
                </c:pt>
                <c:pt idx="3">
                  <c:v>HBL</c:v>
                </c:pt>
                <c:pt idx="4">
                  <c:v>JS</c:v>
                </c:pt>
                <c:pt idx="5">
                  <c:v>Meezan</c:v>
                </c:pt>
              </c:strCache>
            </c:strRef>
          </c:cat>
          <c:val>
            <c:numRef>
              <c:f>'Staff Comparison'!$B$5:$B$10</c:f>
              <c:numCache>
                <c:formatCode>#,##0</c:formatCode>
                <c:ptCount val="6"/>
                <c:pt idx="0">
                  <c:v>7848</c:v>
                </c:pt>
                <c:pt idx="1">
                  <c:v>3447</c:v>
                </c:pt>
                <c:pt idx="2">
                  <c:v>3095</c:v>
                </c:pt>
                <c:pt idx="3">
                  <c:v>17353</c:v>
                </c:pt>
                <c:pt idx="4">
                  <c:v>4904</c:v>
                </c:pt>
                <c:pt idx="5">
                  <c:v>11649</c:v>
                </c:pt>
              </c:numCache>
            </c:numRef>
          </c:val>
          <c:extLst>
            <c:ext xmlns:c16="http://schemas.microsoft.com/office/drawing/2014/chart" uri="{C3380CC4-5D6E-409C-BE32-E72D297353CC}">
              <c16:uniqueId val="{00000000-7A78-42C8-A9C7-180CE4E4A9A3}"/>
            </c:ext>
          </c:extLst>
        </c:ser>
        <c:ser>
          <c:idx val="1"/>
          <c:order val="1"/>
          <c:tx>
            <c:strRef>
              <c:f>'Staff Comparison'!$C$3:$C$4</c:f>
              <c:strCache>
                <c:ptCount val="1"/>
                <c:pt idx="0">
                  <c:v>2020</c:v>
                </c:pt>
              </c:strCache>
            </c:strRef>
          </c:tx>
          <c:spPr>
            <a:solidFill>
              <a:schemeClr val="accent2"/>
            </a:solidFill>
            <a:ln>
              <a:noFill/>
            </a:ln>
            <a:effectLst/>
          </c:spPr>
          <c:invertIfNegative val="0"/>
          <c:cat>
            <c:strRef>
              <c:f>'Staff Comparison'!$A$5:$A$10</c:f>
              <c:strCache>
                <c:ptCount val="6"/>
                <c:pt idx="0">
                  <c:v>Askari</c:v>
                </c:pt>
                <c:pt idx="1">
                  <c:v>BankIslami</c:v>
                </c:pt>
                <c:pt idx="2">
                  <c:v>Dubai Islamic Bank</c:v>
                </c:pt>
                <c:pt idx="3">
                  <c:v>HBL</c:v>
                </c:pt>
                <c:pt idx="4">
                  <c:v>JS</c:v>
                </c:pt>
                <c:pt idx="5">
                  <c:v>Meezan</c:v>
                </c:pt>
              </c:strCache>
            </c:strRef>
          </c:cat>
          <c:val>
            <c:numRef>
              <c:f>'Staff Comparison'!$C$5:$C$10</c:f>
              <c:numCache>
                <c:formatCode>#,##0</c:formatCode>
                <c:ptCount val="6"/>
                <c:pt idx="0">
                  <c:v>7949</c:v>
                </c:pt>
                <c:pt idx="1">
                  <c:v>3437</c:v>
                </c:pt>
                <c:pt idx="2">
                  <c:v>3099</c:v>
                </c:pt>
                <c:pt idx="3">
                  <c:v>16954</c:v>
                </c:pt>
                <c:pt idx="4">
                  <c:v>5311</c:v>
                </c:pt>
                <c:pt idx="5">
                  <c:v>12423</c:v>
                </c:pt>
              </c:numCache>
            </c:numRef>
          </c:val>
          <c:extLst>
            <c:ext xmlns:c16="http://schemas.microsoft.com/office/drawing/2014/chart" uri="{C3380CC4-5D6E-409C-BE32-E72D297353CC}">
              <c16:uniqueId val="{00000034-7A78-42C8-A9C7-180CE4E4A9A3}"/>
            </c:ext>
          </c:extLst>
        </c:ser>
        <c:ser>
          <c:idx val="2"/>
          <c:order val="2"/>
          <c:tx>
            <c:strRef>
              <c:f>'Staff Comparison'!$D$3:$D$4</c:f>
              <c:strCache>
                <c:ptCount val="1"/>
                <c:pt idx="0">
                  <c:v>2021</c:v>
                </c:pt>
              </c:strCache>
            </c:strRef>
          </c:tx>
          <c:spPr>
            <a:solidFill>
              <a:schemeClr val="accent3"/>
            </a:solidFill>
            <a:ln>
              <a:noFill/>
            </a:ln>
            <a:effectLst/>
          </c:spPr>
          <c:invertIfNegative val="0"/>
          <c:cat>
            <c:strRef>
              <c:f>'Staff Comparison'!$A$5:$A$10</c:f>
              <c:strCache>
                <c:ptCount val="6"/>
                <c:pt idx="0">
                  <c:v>Askari</c:v>
                </c:pt>
                <c:pt idx="1">
                  <c:v>BankIslami</c:v>
                </c:pt>
                <c:pt idx="2">
                  <c:v>Dubai Islamic Bank</c:v>
                </c:pt>
                <c:pt idx="3">
                  <c:v>HBL</c:v>
                </c:pt>
                <c:pt idx="4">
                  <c:v>JS</c:v>
                </c:pt>
                <c:pt idx="5">
                  <c:v>Meezan</c:v>
                </c:pt>
              </c:strCache>
            </c:strRef>
          </c:cat>
          <c:val>
            <c:numRef>
              <c:f>'Staff Comparison'!$D$5:$D$10</c:f>
              <c:numCache>
                <c:formatCode>#,##0</c:formatCode>
                <c:ptCount val="6"/>
                <c:pt idx="0">
                  <c:v>7478</c:v>
                </c:pt>
                <c:pt idx="1">
                  <c:v>4046</c:v>
                </c:pt>
                <c:pt idx="2">
                  <c:v>3223</c:v>
                </c:pt>
                <c:pt idx="3">
                  <c:v>17591</c:v>
                </c:pt>
                <c:pt idx="4">
                  <c:v>4487</c:v>
                </c:pt>
                <c:pt idx="5">
                  <c:v>14007</c:v>
                </c:pt>
              </c:numCache>
            </c:numRef>
          </c:val>
          <c:extLst>
            <c:ext xmlns:c16="http://schemas.microsoft.com/office/drawing/2014/chart" uri="{C3380CC4-5D6E-409C-BE32-E72D297353CC}">
              <c16:uniqueId val="{00000035-7A78-42C8-A9C7-180CE4E4A9A3}"/>
            </c:ext>
          </c:extLst>
        </c:ser>
        <c:ser>
          <c:idx val="3"/>
          <c:order val="3"/>
          <c:tx>
            <c:strRef>
              <c:f>'Staff Comparison'!$E$3:$E$4</c:f>
              <c:strCache>
                <c:ptCount val="1"/>
                <c:pt idx="0">
                  <c:v>2022</c:v>
                </c:pt>
              </c:strCache>
            </c:strRef>
          </c:tx>
          <c:spPr>
            <a:solidFill>
              <a:schemeClr val="accent4"/>
            </a:solidFill>
            <a:ln>
              <a:noFill/>
            </a:ln>
            <a:effectLst/>
          </c:spPr>
          <c:invertIfNegative val="0"/>
          <c:cat>
            <c:strRef>
              <c:f>'Staff Comparison'!$A$5:$A$10</c:f>
              <c:strCache>
                <c:ptCount val="6"/>
                <c:pt idx="0">
                  <c:v>Askari</c:v>
                </c:pt>
                <c:pt idx="1">
                  <c:v>BankIslami</c:v>
                </c:pt>
                <c:pt idx="2">
                  <c:v>Dubai Islamic Bank</c:v>
                </c:pt>
                <c:pt idx="3">
                  <c:v>HBL</c:v>
                </c:pt>
                <c:pt idx="4">
                  <c:v>JS</c:v>
                </c:pt>
                <c:pt idx="5">
                  <c:v>Meezan</c:v>
                </c:pt>
              </c:strCache>
            </c:strRef>
          </c:cat>
          <c:val>
            <c:numRef>
              <c:f>'Staff Comparison'!$E$5:$E$10</c:f>
              <c:numCache>
                <c:formatCode>#,##0</c:formatCode>
                <c:ptCount val="6"/>
                <c:pt idx="0">
                  <c:v>7348</c:v>
                </c:pt>
                <c:pt idx="1">
                  <c:v>4562</c:v>
                </c:pt>
                <c:pt idx="2">
                  <c:v>3468</c:v>
                </c:pt>
                <c:pt idx="3">
                  <c:v>17602</c:v>
                </c:pt>
                <c:pt idx="4">
                  <c:v>4739</c:v>
                </c:pt>
                <c:pt idx="5">
                  <c:v>15380</c:v>
                </c:pt>
              </c:numCache>
            </c:numRef>
          </c:val>
          <c:extLst>
            <c:ext xmlns:c16="http://schemas.microsoft.com/office/drawing/2014/chart" uri="{C3380CC4-5D6E-409C-BE32-E72D297353CC}">
              <c16:uniqueId val="{00000036-7A78-42C8-A9C7-180CE4E4A9A3}"/>
            </c:ext>
          </c:extLst>
        </c:ser>
        <c:ser>
          <c:idx val="4"/>
          <c:order val="4"/>
          <c:tx>
            <c:strRef>
              <c:f>'Staff Comparison'!$F$3:$F$4</c:f>
              <c:strCache>
                <c:ptCount val="1"/>
                <c:pt idx="0">
                  <c:v>2023</c:v>
                </c:pt>
              </c:strCache>
            </c:strRef>
          </c:tx>
          <c:spPr>
            <a:solidFill>
              <a:schemeClr val="accent5"/>
            </a:solidFill>
            <a:ln>
              <a:noFill/>
            </a:ln>
            <a:effectLst/>
          </c:spPr>
          <c:invertIfNegative val="0"/>
          <c:cat>
            <c:strRef>
              <c:f>'Staff Comparison'!$A$5:$A$10</c:f>
              <c:strCache>
                <c:ptCount val="6"/>
                <c:pt idx="0">
                  <c:v>Askari</c:v>
                </c:pt>
                <c:pt idx="1">
                  <c:v>BankIslami</c:v>
                </c:pt>
                <c:pt idx="2">
                  <c:v>Dubai Islamic Bank</c:v>
                </c:pt>
                <c:pt idx="3">
                  <c:v>HBL</c:v>
                </c:pt>
                <c:pt idx="4">
                  <c:v>JS</c:v>
                </c:pt>
                <c:pt idx="5">
                  <c:v>Meezan</c:v>
                </c:pt>
              </c:strCache>
            </c:strRef>
          </c:cat>
          <c:val>
            <c:numRef>
              <c:f>'Staff Comparison'!$F$5:$F$10</c:f>
              <c:numCache>
                <c:formatCode>#,##0</c:formatCode>
                <c:ptCount val="6"/>
                <c:pt idx="0">
                  <c:v>7881</c:v>
                </c:pt>
                <c:pt idx="1">
                  <c:v>5891</c:v>
                </c:pt>
                <c:pt idx="2">
                  <c:v>3434</c:v>
                </c:pt>
                <c:pt idx="3">
                  <c:v>16353</c:v>
                </c:pt>
                <c:pt idx="4">
                  <c:v>4940</c:v>
                </c:pt>
                <c:pt idx="5">
                  <c:v>17186</c:v>
                </c:pt>
              </c:numCache>
            </c:numRef>
          </c:val>
          <c:extLst>
            <c:ext xmlns:c16="http://schemas.microsoft.com/office/drawing/2014/chart" uri="{C3380CC4-5D6E-409C-BE32-E72D297353CC}">
              <c16:uniqueId val="{00000037-7A78-42C8-A9C7-180CE4E4A9A3}"/>
            </c:ext>
          </c:extLst>
        </c:ser>
        <c:ser>
          <c:idx val="5"/>
          <c:order val="5"/>
          <c:tx>
            <c:strRef>
              <c:f>'Staff Comparison'!$G$3:$G$4</c:f>
              <c:strCache>
                <c:ptCount val="1"/>
                <c:pt idx="0">
                  <c:v>2024</c:v>
                </c:pt>
              </c:strCache>
            </c:strRef>
          </c:tx>
          <c:spPr>
            <a:solidFill>
              <a:schemeClr val="accent6"/>
            </a:solidFill>
            <a:ln>
              <a:noFill/>
            </a:ln>
            <a:effectLst/>
          </c:spPr>
          <c:invertIfNegative val="0"/>
          <c:cat>
            <c:strRef>
              <c:f>'Staff Comparison'!$A$5:$A$10</c:f>
              <c:strCache>
                <c:ptCount val="6"/>
                <c:pt idx="0">
                  <c:v>Askari</c:v>
                </c:pt>
                <c:pt idx="1">
                  <c:v>BankIslami</c:v>
                </c:pt>
                <c:pt idx="2">
                  <c:v>Dubai Islamic Bank</c:v>
                </c:pt>
                <c:pt idx="3">
                  <c:v>HBL</c:v>
                </c:pt>
                <c:pt idx="4">
                  <c:v>JS</c:v>
                </c:pt>
                <c:pt idx="5">
                  <c:v>Meezan</c:v>
                </c:pt>
              </c:strCache>
            </c:strRef>
          </c:cat>
          <c:val>
            <c:numRef>
              <c:f>'Staff Comparison'!$G$5:$G$10</c:f>
              <c:numCache>
                <c:formatCode>#,##0</c:formatCode>
                <c:ptCount val="6"/>
                <c:pt idx="0">
                  <c:v>8269</c:v>
                </c:pt>
                <c:pt idx="1">
                  <c:v>7317</c:v>
                </c:pt>
                <c:pt idx="2">
                  <c:v>3774</c:v>
                </c:pt>
                <c:pt idx="3">
                  <c:v>16533</c:v>
                </c:pt>
                <c:pt idx="4">
                  <c:v>5142</c:v>
                </c:pt>
                <c:pt idx="5">
                  <c:v>18653</c:v>
                </c:pt>
              </c:numCache>
            </c:numRef>
          </c:val>
          <c:extLst>
            <c:ext xmlns:c16="http://schemas.microsoft.com/office/drawing/2014/chart" uri="{C3380CC4-5D6E-409C-BE32-E72D297353CC}">
              <c16:uniqueId val="{00000038-7A78-42C8-A9C7-180CE4E4A9A3}"/>
            </c:ext>
          </c:extLst>
        </c:ser>
        <c:dLbls>
          <c:showLegendKey val="0"/>
          <c:showVal val="0"/>
          <c:showCatName val="0"/>
          <c:showSerName val="0"/>
          <c:showPercent val="0"/>
          <c:showBubbleSize val="0"/>
        </c:dLbls>
        <c:gapWidth val="219"/>
        <c:overlap val="-27"/>
        <c:axId val="624122648"/>
        <c:axId val="624126968"/>
      </c:barChart>
      <c:catAx>
        <c:axId val="624122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24126968"/>
        <c:crosses val="autoZero"/>
        <c:auto val="1"/>
        <c:lblAlgn val="ctr"/>
        <c:lblOffset val="100"/>
        <c:noMultiLvlLbl val="0"/>
      </c:catAx>
      <c:valAx>
        <c:axId val="624126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24122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Distribution of Operating Expense Ratio</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Operating Expense Ratio</a:t>
          </a:r>
        </a:p>
      </cx:txPr>
    </cx:title>
    <cx:plotArea>
      <cx:plotAreaRegion>
        <cx:series layoutId="boxWhisker" uniqueId="{00000000-3F41-429E-BEEF-8F96D0E80B88}">
          <cx:tx>
            <cx:txData>
              <cx:f>_xlchart.v1.1</cx:f>
              <cx:v>Operating Expense Ratio</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PK"/>
              <a:t>Distribution of</a:t>
            </a:r>
            <a:r>
              <a:rPr lang="en-US"/>
              <a:t> ROA</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7AFD-4724-A408-3DD54282D0B4}">
          <cx:tx>
            <cx:txData>
              <cx:f>_xlchart.v1.4</cx:f>
              <cx:v>ROA</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88067</xdr:colOff>
      <xdr:row>2</xdr:row>
      <xdr:rowOff>920</xdr:rowOff>
    </xdr:from>
    <xdr:to>
      <xdr:col>15</xdr:col>
      <xdr:colOff>90769</xdr:colOff>
      <xdr:row>16</xdr:row>
      <xdr:rowOff>92387</xdr:rowOff>
    </xdr:to>
    <xdr:graphicFrame macro="">
      <xdr:nvGraphicFramePr>
        <xdr:cNvPr id="2" name="Chart 1">
          <a:extLst>
            <a:ext uri="{FF2B5EF4-FFF2-40B4-BE49-F238E27FC236}">
              <a16:creationId xmlns:a16="http://schemas.microsoft.com/office/drawing/2014/main" id="{69E9980C-54F9-DC0C-CB35-28737D28B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139335</xdr:colOff>
      <xdr:row>2</xdr:row>
      <xdr:rowOff>8276</xdr:rowOff>
    </xdr:from>
    <xdr:to>
      <xdr:col>22</xdr:col>
      <xdr:colOff>554507</xdr:colOff>
      <xdr:row>16</xdr:row>
      <xdr:rowOff>98382</xdr:rowOff>
    </xdr:to>
    <xdr:graphicFrame macro="">
      <xdr:nvGraphicFramePr>
        <xdr:cNvPr id="3" name="Chart 2">
          <a:extLst>
            <a:ext uri="{FF2B5EF4-FFF2-40B4-BE49-F238E27FC236}">
              <a16:creationId xmlns:a16="http://schemas.microsoft.com/office/drawing/2014/main" id="{78D9F710-4631-B9B9-3203-95C2C1174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90655</xdr:colOff>
      <xdr:row>16</xdr:row>
      <xdr:rowOff>129142</xdr:rowOff>
    </xdr:from>
    <xdr:to>
      <xdr:col>15</xdr:col>
      <xdr:colOff>89437</xdr:colOff>
      <xdr:row>31</xdr:row>
      <xdr:rowOff>107324</xdr:rowOff>
    </xdr:to>
    <xdr:graphicFrame macro="">
      <xdr:nvGraphicFramePr>
        <xdr:cNvPr id="4" name="Chart 3">
          <a:extLst>
            <a:ext uri="{FF2B5EF4-FFF2-40B4-BE49-F238E27FC236}">
              <a16:creationId xmlns:a16="http://schemas.microsoft.com/office/drawing/2014/main" id="{B9701A03-A414-E3E6-7BEF-52E61D2D8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306293</xdr:colOff>
      <xdr:row>0</xdr:row>
      <xdr:rowOff>100105</xdr:rowOff>
    </xdr:from>
    <xdr:to>
      <xdr:col>14</xdr:col>
      <xdr:colOff>351117</xdr:colOff>
      <xdr:row>13</xdr:row>
      <xdr:rowOff>74706</xdr:rowOff>
    </xdr:to>
    <xdr:graphicFrame macro="">
      <xdr:nvGraphicFramePr>
        <xdr:cNvPr id="3" name="Chart 2">
          <a:extLst>
            <a:ext uri="{FF2B5EF4-FFF2-40B4-BE49-F238E27FC236}">
              <a16:creationId xmlns:a16="http://schemas.microsoft.com/office/drawing/2014/main" id="{2609DEF1-F797-18D8-5C38-753356CB7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175505</xdr:colOff>
      <xdr:row>13</xdr:row>
      <xdr:rowOff>102947</xdr:rowOff>
    </xdr:from>
    <xdr:to>
      <xdr:col>14</xdr:col>
      <xdr:colOff>485588</xdr:colOff>
      <xdr:row>28</xdr:row>
      <xdr:rowOff>43624</xdr:rowOff>
    </xdr:to>
    <xdr:graphicFrame macro="">
      <xdr:nvGraphicFramePr>
        <xdr:cNvPr id="4" name="Chart 3">
          <a:extLst>
            <a:ext uri="{FF2B5EF4-FFF2-40B4-BE49-F238E27FC236}">
              <a16:creationId xmlns:a16="http://schemas.microsoft.com/office/drawing/2014/main" id="{E66D6CC3-133B-FC3A-11C6-DF8F70B33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388155</xdr:colOff>
      <xdr:row>10</xdr:row>
      <xdr:rowOff>59386</xdr:rowOff>
    </xdr:from>
    <xdr:to>
      <xdr:col>7</xdr:col>
      <xdr:colOff>67972</xdr:colOff>
      <xdr:row>24</xdr:row>
      <xdr:rowOff>173149</xdr:rowOff>
    </xdr:to>
    <xdr:graphicFrame macro="">
      <xdr:nvGraphicFramePr>
        <xdr:cNvPr id="5" name="Chart 4">
          <a:extLst>
            <a:ext uri="{FF2B5EF4-FFF2-40B4-BE49-F238E27FC236}">
              <a16:creationId xmlns:a16="http://schemas.microsoft.com/office/drawing/2014/main" id="{547C01DC-FD02-5BE5-4285-BC95D9758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35898</xdr:colOff>
      <xdr:row>2</xdr:row>
      <xdr:rowOff>150394</xdr:rowOff>
    </xdr:from>
    <xdr:to>
      <xdr:col>8</xdr:col>
      <xdr:colOff>340698</xdr:colOff>
      <xdr:row>17</xdr:row>
      <xdr:rowOff>131679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F4281FC-9FBD-41E6-B922-16E0E688EB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5498" y="518694"/>
              <a:ext cx="4572000" cy="2743535"/>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584868</xdr:colOff>
      <xdr:row>2</xdr:row>
      <xdr:rowOff>175459</xdr:rowOff>
    </xdr:from>
    <xdr:to>
      <xdr:col>16</xdr:col>
      <xdr:colOff>279734</xdr:colOff>
      <xdr:row>17</xdr:row>
      <xdr:rowOff>156744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47DF760-4339-4872-8536-BBBAB0377B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61668" y="543759"/>
              <a:ext cx="4571666" cy="2743535"/>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111125</xdr:colOff>
      <xdr:row>2</xdr:row>
      <xdr:rowOff>25400</xdr:rowOff>
    </xdr:from>
    <xdr:to>
      <xdr:col>15</xdr:col>
      <xdr:colOff>407052</xdr:colOff>
      <xdr:row>19</xdr:row>
      <xdr:rowOff>56987</xdr:rowOff>
    </xdr:to>
    <xdr:graphicFrame macro="">
      <xdr:nvGraphicFramePr>
        <xdr:cNvPr id="2" name="Chart 1">
          <a:extLst>
            <a:ext uri="{FF2B5EF4-FFF2-40B4-BE49-F238E27FC236}">
              <a16:creationId xmlns:a16="http://schemas.microsoft.com/office/drawing/2014/main" id="{91E28BA4-C482-A36E-9A7C-3304026FA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64478</xdr:colOff>
      <xdr:row>7</xdr:row>
      <xdr:rowOff>127651</xdr:rowOff>
    </xdr:from>
    <xdr:to>
      <xdr:col>17</xdr:col>
      <xdr:colOff>1188591</xdr:colOff>
      <xdr:row>19</xdr:row>
      <xdr:rowOff>73269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B5BA18E-ABE9-BD7B-945C-3B6476FF25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02363" y="1438356"/>
              <a:ext cx="1832382" cy="219254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59103</xdr:colOff>
      <xdr:row>2</xdr:row>
      <xdr:rowOff>29471</xdr:rowOff>
    </xdr:from>
    <xdr:to>
      <xdr:col>17</xdr:col>
      <xdr:colOff>1179634</xdr:colOff>
      <xdr:row>7</xdr:row>
      <xdr:rowOff>65129</xdr:rowOff>
    </xdr:to>
    <mc:AlternateContent xmlns:mc="http://schemas.openxmlformats.org/markup-compatibility/2006" xmlns:a14="http://schemas.microsoft.com/office/drawing/2010/main">
      <mc:Choice Requires="a14">
        <xdr:graphicFrame macro="">
          <xdr:nvGraphicFramePr>
            <xdr:cNvPr id="4" name="Bank_Type ">
              <a:extLst>
                <a:ext uri="{FF2B5EF4-FFF2-40B4-BE49-F238E27FC236}">
                  <a16:creationId xmlns:a16="http://schemas.microsoft.com/office/drawing/2014/main" id="{DAFCFDE6-5E1E-4192-76B8-92DC138F3A21}"/>
                </a:ext>
              </a:extLst>
            </xdr:cNvPr>
            <xdr:cNvGraphicFramePr/>
          </xdr:nvGraphicFramePr>
          <xdr:xfrm>
            <a:off x="0" y="0"/>
            <a:ext cx="0" cy="0"/>
          </xdr:xfrm>
          <a:graphic>
            <a:graphicData uri="http://schemas.microsoft.com/office/drawing/2010/slicer">
              <sle:slicer xmlns:sle="http://schemas.microsoft.com/office/drawing/2010/slicer" name="Bank_Type "/>
            </a:graphicData>
          </a:graphic>
        </xdr:graphicFrame>
      </mc:Choice>
      <mc:Fallback xmlns="">
        <xdr:sp macro="" textlink="">
          <xdr:nvSpPr>
            <xdr:cNvPr id="0" name=""/>
            <xdr:cNvSpPr>
              <a:spLocks noTextEdit="1"/>
            </xdr:cNvSpPr>
          </xdr:nvSpPr>
          <xdr:spPr>
            <a:xfrm>
              <a:off x="10096988" y="403958"/>
              <a:ext cx="1828800" cy="97187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ya" refreshedDate="46208.013278009261" createdVersion="8" refreshedVersion="8" minRefreshableVersion="3" recordCount="36" xr:uid="{836B95AE-852F-43FA-A026-33231A7B0429}">
  <cacheSource type="worksheet">
    <worksheetSource name="Table5"/>
  </cacheSource>
  <cacheFields count="10">
    <cacheField name="Bank" numFmtId="0">
      <sharedItems count="7">
        <s v="Askari"/>
        <s v="HBL"/>
        <s v="JS"/>
        <s v="Meezan"/>
        <s v="Dubai Islamic Bank"/>
        <s v="BankIslami"/>
        <s v="MCB" u="1"/>
      </sharedItems>
    </cacheField>
    <cacheField name="Bank Type" numFmtId="0">
      <sharedItems count="2">
        <s v="Conventional"/>
        <s v="Islamic"/>
      </sharedItems>
    </cacheField>
    <cacheField name="Years" numFmtId="0">
      <sharedItems containsSemiMixedTypes="0" containsString="0" containsNumber="1" containsInteger="1" minValue="2019" maxValue="2024" count="6">
        <n v="2019"/>
        <n v="2020"/>
        <n v="2021"/>
        <n v="2022"/>
        <n v="2023"/>
        <n v="2024"/>
      </sharedItems>
    </cacheField>
    <cacheField name="Operating Expense Ratio" numFmtId="10">
      <sharedItems containsSemiMixedTypes="0" containsString="0" containsNumber="1" minValue="1.3450729683192946E-2" maxValue="4.2989977281630433E-2"/>
    </cacheField>
    <cacheField name="Cost-to-Income Ratio" numFmtId="10">
      <sharedItems containsSemiMixedTypes="0" containsString="0" containsNumber="1" minValue="0.25167851757914939" maxValue="0.98360734630195279"/>
    </cacheField>
    <cacheField name="ROA" numFmtId="10">
      <sharedItems containsSemiMixedTypes="0" containsString="0" containsNumber="1" minValue="5.2405584361007029E-5" maxValue="2.8045349227076397E-2"/>
    </cacheField>
    <cacheField name="ROE" numFmtId="10">
      <sharedItems containsSemiMixedTypes="0" containsString="0" containsNumber="1" minValue="1.4222948892172879E-3" maxValue="0.45685347664908615"/>
    </cacheField>
    <cacheField name="Cash-to-Assets Ratio" numFmtId="10">
      <sharedItems containsSemiMixedTypes="0" containsString="0" containsNumber="1" minValue="4.0156226462758897E-2" maxValue="0.11043583045466636"/>
    </cacheField>
    <cacheField name="Financing-to-Assets Ratio" numFmtId="10">
      <sharedItems containsSemiMixedTypes="0" containsString="0" containsNumber="1" minValue="0.27848436059241172" maxValue="0.67232000508708822"/>
    </cacheField>
    <cacheField name="Bank Size " numFmtId="43">
      <sharedItems containsSemiMixedTypes="0" containsString="0" containsNumber="1" minValue="19.393875747597331" maxValue="22.45665506955026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yab" refreshedDate="46208.087790625003" createdVersion="8" refreshedVersion="8" minRefreshableVersion="3" recordCount="36" xr:uid="{3E219DFF-7DDB-4E99-BF2C-B78DC736D090}">
  <cacheSource type="worksheet">
    <worksheetSource name="Table3"/>
  </cacheSource>
  <cacheFields count="14">
    <cacheField name="Bank" numFmtId="0">
      <sharedItems count="6">
        <s v="Askari"/>
        <s v="HBL"/>
        <s v="JS"/>
        <s v="Meezan"/>
        <s v="Dubai Islamic Bank"/>
        <s v="BankIslami"/>
      </sharedItems>
    </cacheField>
    <cacheField name="Bank_Type " numFmtId="0">
      <sharedItems count="2">
        <s v="Conventional"/>
        <s v="Islamic"/>
      </sharedItems>
    </cacheField>
    <cacheField name="Year" numFmtId="0">
      <sharedItems containsSemiMixedTypes="0" containsString="0" containsNumber="1" containsInteger="1" minValue="2019" maxValue="2024" count="6">
        <n v="2019"/>
        <n v="2020"/>
        <n v="2021"/>
        <n v="2022"/>
        <n v="2023"/>
        <n v="2024"/>
      </sharedItems>
    </cacheField>
    <cacheField name="Total Assets" numFmtId="3">
      <sharedItems containsSemiMixedTypes="0" containsString="0" containsNumber="1" containsInteger="1" minValue="264638618" maxValue="5659803830"/>
    </cacheField>
    <cacheField name="Total Deposits" numFmtId="3">
      <sharedItems containsSemiMixedTypes="0" containsString="0" containsNumber="1" containsInteger="1" minValue="209952073" maxValue="4091168379"/>
    </cacheField>
    <cacheField name="Total Equity" numFmtId="3">
      <sharedItems containsSemiMixedTypes="0" containsString="0" containsNumber="1" containsInteger="1" minValue="17333255" maxValue="377785296"/>
    </cacheField>
    <cacheField name="Cash" numFmtId="3">
      <sharedItems containsSemiMixedTypes="0" containsString="0" containsNumber="1" containsInteger="1" minValue="14640163" maxValue="505181227"/>
    </cacheField>
    <cacheField name="Financing/Loans" numFmtId="3">
      <sharedItems containsSemiMixedTypes="0" containsString="0" containsNumber="1" containsInteger="1" minValue="130161889" maxValue="2254964431"/>
    </cacheField>
    <cacheField name="Operating Income" numFmtId="3">
      <sharedItems containsSemiMixedTypes="0" containsString="0" containsNumber="1" containsInteger="1" minValue="10971561" maxValue="315917305"/>
    </cacheField>
    <cacheField name="Operating Expenses" numFmtId="3">
      <sharedItems containsSemiMixedTypes="0" containsString="0" containsNumber="1" containsInteger="1" minValue="6658707" maxValue="170661897"/>
    </cacheField>
    <cacheField name="Staff Expenses" numFmtId="3">
      <sharedItems containsString="0" containsBlank="1" containsNumber="1" containsInteger="1" minValue="3090808" maxValue="56506395"/>
    </cacheField>
    <cacheField name="Net Profit" numFmtId="3">
      <sharedItems containsSemiMixedTypes="0" containsString="0" containsNumber="1" containsInteger="1" minValue="24653" maxValue="101507524"/>
    </cacheField>
    <cacheField name="Profit Distributed" numFmtId="0">
      <sharedItems containsString="0" containsBlank="1" containsNumber="1" containsInteger="1" minValue="0" maxValue="51995169"/>
    </cacheField>
    <cacheField name="Staff Strength" numFmtId="3">
      <sharedItems containsSemiMixedTypes="0" containsString="0" containsNumber="1" containsInteger="1" minValue="3095" maxValue="18653" count="36">
        <n v="7848"/>
        <n v="7949"/>
        <n v="7478"/>
        <n v="7348"/>
        <n v="7881"/>
        <n v="8269"/>
        <n v="17353"/>
        <n v="16954"/>
        <n v="17591"/>
        <n v="17602"/>
        <n v="16353"/>
        <n v="16533"/>
        <n v="4904"/>
        <n v="5311"/>
        <n v="4487"/>
        <n v="4739"/>
        <n v="4940"/>
        <n v="5142"/>
        <n v="11649"/>
        <n v="12423"/>
        <n v="14007"/>
        <n v="15380"/>
        <n v="17186"/>
        <n v="18653"/>
        <n v="3095"/>
        <n v="3099"/>
        <n v="3223"/>
        <n v="3468"/>
        <n v="3434"/>
        <n v="3774"/>
        <n v="3447"/>
        <n v="3437"/>
        <n v="4046"/>
        <n v="4562"/>
        <n v="5891"/>
        <n v="7317"/>
      </sharedItems>
    </cacheField>
  </cacheFields>
  <extLst>
    <ext xmlns:x14="http://schemas.microsoft.com/office/spreadsheetml/2009/9/main" uri="{725AE2AE-9491-48be-B2B4-4EB974FC3084}">
      <x14:pivotCacheDefinition pivotCacheId="485365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n v="2.1885755860103918E-2"/>
    <n v="0.61731174177167314"/>
    <n v="8.4216929619852932E-3"/>
    <n v="0.16606039155199456"/>
    <n v="7.565852649764386E-2"/>
    <n v="0.44756394599501725"/>
    <n v="20.540793876042326"/>
  </r>
  <r>
    <x v="0"/>
    <x v="0"/>
    <x v="1"/>
    <n v="2.027521316303578E-2"/>
    <n v="0.50363359081091397"/>
    <n v="1.0881802856100423E-2"/>
    <n v="0.19800362444049877"/>
    <n v="7.4207004413189628E-2"/>
    <n v="0.39835470354866304"/>
    <n v="20.715754761309846"/>
  </r>
  <r>
    <x v="0"/>
    <x v="0"/>
    <x v="2"/>
    <n v="1.6591051691923535E-2"/>
    <n v="0.50002009364860955"/>
    <n v="7.7047463675184455E-3"/>
    <n v="0.17354120504071258"/>
    <n v="7.1026218810669908E-2"/>
    <n v="0.37929593093144509"/>
    <n v="20.953698048524149"/>
  </r>
  <r>
    <x v="0"/>
    <x v="0"/>
    <x v="3"/>
    <n v="1.479057011657669E-2"/>
    <n v="0.43760578150818941"/>
    <n v="9.2138681471541344E-3"/>
    <n v="0.19177799951128069"/>
    <n v="4.6490071885141884E-2"/>
    <n v="0.38254244565437279"/>
    <n v="21.146003402928152"/>
  </r>
  <r>
    <x v="0"/>
    <x v="0"/>
    <x v="4"/>
    <n v="1.3450729683192946E-2"/>
    <n v="0.39482948519385458"/>
    <n v="1.0091619050867267E-2"/>
    <n v="0.22069642108109688"/>
    <n v="7.5370501349897576E-2"/>
    <n v="0.29808429883034993"/>
    <n v="21.476569745877722"/>
  </r>
  <r>
    <x v="0"/>
    <x v="0"/>
    <x v="5"/>
    <n v="1.4172613905930076E-2"/>
    <n v="0.44979999371955431"/>
    <n v="8.4145405271665464E-3"/>
    <n v="0.17284321357453555"/>
    <n v="5.3436864955143902E-2"/>
    <n v="0.27848436059241172"/>
    <n v="21.638906039272094"/>
  </r>
  <r>
    <x v="1"/>
    <x v="0"/>
    <x v="0"/>
    <n v="2.7084614668435373E-2"/>
    <n v="0.72945523870067697"/>
    <n v="4.9330394259816798E-3"/>
    <n v="7.4789213882383992E-2"/>
    <n v="0.11043583045466636"/>
    <n v="0.35137924776377844"/>
    <n v="21.839630860178232"/>
  </r>
  <r>
    <x v="1"/>
    <x v="0"/>
    <x v="1"/>
    <n v="2.2820577858448144E-2"/>
    <n v="0.5626153664831719"/>
    <n v="8.6515302039317198E-3"/>
    <n v="0.12987418898108727"/>
    <n v="9.5503919009267829E-2"/>
    <n v="0.30664362217985786"/>
    <n v="22.016268702347514"/>
  </r>
  <r>
    <x v="1"/>
    <x v="0"/>
    <x v="2"/>
    <n v="2.0764727310458427E-2"/>
    <n v="0.55783452896286134"/>
    <n v="8.4110325430024578E-3"/>
    <n v="0.13287185992450401"/>
    <n v="0.10050804137629214"/>
    <n v="0.33980108074754489"/>
    <n v="22.128035524790633"/>
  </r>
  <r>
    <x v="1"/>
    <x v="0"/>
    <x v="3"/>
    <n v="2.5366888982140189E-2"/>
    <n v="0.58024744140236828"/>
    <n v="7.0875582307965432E-3"/>
    <n v="0.12163113087710163"/>
    <n v="5.9095833894159927E-2"/>
    <n v="0.37257665625446745"/>
    <n v="22.194612701193844"/>
  </r>
  <r>
    <x v="1"/>
    <x v="0"/>
    <x v="4"/>
    <n v="2.9286614095024831E-2"/>
    <n v="0.54937204147089647"/>
    <n v="1.0930332429397364E-2"/>
    <n v="0.17034003188117586"/>
    <n v="9.7119024092373218E-2"/>
    <n v="0.31990030720056112"/>
    <n v="22.372245788403106"/>
  </r>
  <r>
    <x v="1"/>
    <x v="0"/>
    <x v="5"/>
    <n v="3.0153323706274108E-2"/>
    <n v="0.54483537798153547"/>
    <n v="1.0029644260656292E-2"/>
    <n v="0.15025947171856049"/>
    <n v="7.4408169196210461E-2"/>
    <n v="0.39841741847084478"/>
    <n v="22.456655069550266"/>
  </r>
  <r>
    <x v="2"/>
    <x v="0"/>
    <x v="0"/>
    <n v="2.2940241106289474E-2"/>
    <n v="0.98360734630195279"/>
    <n v="5.2405584361007029E-5"/>
    <n v="1.4222948892172879E-3"/>
    <n v="5.4396008102979385E-2"/>
    <n v="0.5164340632557064"/>
    <n v="19.969151276460181"/>
  </r>
  <r>
    <x v="2"/>
    <x v="0"/>
    <x v="1"/>
    <n v="2.4464060532477839E-2"/>
    <n v="0.79125310083210731"/>
    <n v="2.1610828370828374E-3"/>
    <n v="5.5849280465698481E-2"/>
    <n v="5.716466984073211E-2"/>
    <n v="0.4701503604116653"/>
    <n v="20.092470542328865"/>
  </r>
  <r>
    <x v="2"/>
    <x v="0"/>
    <x v="2"/>
    <n v="2.1774678590736903E-2"/>
    <n v="0.74965436017625864"/>
    <n v="2.2324437494746392E-3"/>
    <n v="5.9225712144292231E-2"/>
    <n v="5.8647115661049389E-2"/>
    <n v="0.43503129703720139"/>
    <n v="20.185906031525501"/>
  </r>
  <r>
    <x v="2"/>
    <x v="0"/>
    <x v="3"/>
    <n v="2.7158338310141982E-2"/>
    <n v="0.83096545679571687"/>
    <n v="1.5643810005596859E-3"/>
    <n v="4.4776305739661522E-2"/>
    <n v="4.0156226462758897E-2"/>
    <n v="0.37473003130796972"/>
    <n v="20.239918362071972"/>
  </r>
  <r>
    <x v="2"/>
    <x v="0"/>
    <x v="4"/>
    <n v="3.9091086158000478E-2"/>
    <n v="0.66567904936815314"/>
    <n v="7.3543930965539054E-3"/>
    <n v="0.10750733320523144"/>
    <n v="6.9380351293786405E-2"/>
    <n v="0.34563230652628907"/>
    <n v="20.194670696313864"/>
  </r>
  <r>
    <x v="2"/>
    <x v="0"/>
    <x v="5"/>
    <n v="4.2989977281630433E-2"/>
    <n v="0.70748083743728685"/>
    <n v="4.4779648705412997E-3"/>
    <n v="6.5172394652949023E-2"/>
    <n v="6.7690048779634443E-2"/>
    <n v="0.35452924112792877"/>
    <n v="20.270877767460192"/>
  </r>
  <r>
    <x v="3"/>
    <x v="1"/>
    <x v="0"/>
    <n v="2.2145352251739144E-2"/>
    <n v="0.44451936048841911"/>
    <n v="1.3584804344280886E-2"/>
    <n v="0.25810332392494356"/>
    <n v="8.2223128053780195E-2"/>
    <n v="0.44037610803621341"/>
    <n v="20.837717332737164"/>
  </r>
  <r>
    <x v="3"/>
    <x v="1"/>
    <x v="1"/>
    <n v="1.8933574862200441E-2"/>
    <n v="0.38452028929757537"/>
    <n v="1.4567689623050901E-2"/>
    <n v="0.32051942364013175"/>
    <n v="8.9541354323002226E-2"/>
    <n v="0.33684646736675056"/>
    <n v="21.14300160836477"/>
  </r>
  <r>
    <x v="3"/>
    <x v="1"/>
    <x v="2"/>
    <n v="1.8054024879196818E-2"/>
    <n v="0.40991648434491157"/>
    <n v="1.4900464084746623E-2"/>
    <n v="0.32758648197692236"/>
    <n v="8.959708905767054E-2"/>
    <n v="0.39836968648083726"/>
    <n v="21.366682396245753"/>
  </r>
  <r>
    <x v="3"/>
    <x v="1"/>
    <x v="3"/>
    <n v="1.794051200975184E-2"/>
    <n v="0.32839199813156772"/>
    <n v="1.7462036728101735E-2"/>
    <n v="0.390273495841722"/>
    <n v="4.5682943937629963E-2"/>
    <n v="0.38624556350011935"/>
    <n v="21.670046010116227"/>
  </r>
  <r>
    <x v="3"/>
    <x v="1"/>
    <x v="4"/>
    <n v="2.2534576429970518E-2"/>
    <n v="0.2731057055830825"/>
    <n v="2.8045349227076397E-2"/>
    <n v="0.45685347664908615"/>
    <n v="8.0545417039202871E-2"/>
    <n v="0.31926902033836491"/>
    <n v="21.825906254133908"/>
  </r>
  <r>
    <x v="3"/>
    <x v="1"/>
    <x v="5"/>
    <n v="2.0384926684130004E-2"/>
    <n v="0.25167851757914939"/>
    <n v="2.6024825438090399E-2"/>
    <n v="0.41098777245315665"/>
    <n v="6.6847887553439136E-2"/>
    <n v="0.38835799812939215"/>
    <n v="22.084347853751293"/>
  </r>
  <r>
    <x v="4"/>
    <x v="1"/>
    <x v="0"/>
    <n v="2.5161509118824071E-2"/>
    <n v="0.50127522530711888"/>
    <n v="1.2642134489985886E-2"/>
    <n v="0.15095665073023359"/>
    <n v="7.3373372891480257E-2"/>
    <n v="0.67232000508708822"/>
    <n v="19.393875747597331"/>
  </r>
  <r>
    <x v="4"/>
    <x v="1"/>
    <x v="1"/>
    <n v="2.4301323736189272E-2"/>
    <n v="0.51211800168638166"/>
    <n v="9.5425389417934086E-3"/>
    <n v="0.11752463013475881"/>
    <n v="6.2971558374065942E-2"/>
    <n v="0.65757100400289636"/>
    <n v="19.5301082138052"/>
  </r>
  <r>
    <x v="4"/>
    <x v="1"/>
    <x v="2"/>
    <n v="2.3573750125965874E-2"/>
    <n v="0.53271571235283965"/>
    <n v="8.7895793215341331E-3"/>
    <n v="0.11206527326690889"/>
    <n v="7.3294830758809784E-2"/>
    <n v="0.64119903904514353"/>
    <n v="19.677646750154071"/>
  </r>
  <r>
    <x v="4"/>
    <x v="1"/>
    <x v="3"/>
    <n v="2.2748688767385415E-2"/>
    <n v="0.44149117673344035"/>
    <n v="8.7913288093717651E-3"/>
    <n v="0.13005606006108184"/>
    <n v="0.10245416526229967"/>
    <n v="0.55629380092113423"/>
    <n v="19.914461898099336"/>
  </r>
  <r>
    <x v="4"/>
    <x v="1"/>
    <x v="4"/>
    <n v="2.8783353365125962E-2"/>
    <n v="0.36239832474331835"/>
    <n v="1.5590018051850434E-2"/>
    <n v="0.18079375195160702"/>
    <n v="6.7058855966180067E-2"/>
    <n v="0.5639727144039699"/>
    <n v="19.881600970417573"/>
  </r>
  <r>
    <x v="4"/>
    <x v="1"/>
    <x v="5"/>
    <n v="3.497448929623595E-2"/>
    <n v="0.46307911691310877"/>
    <n v="1.4731169609882562E-2"/>
    <n v="0.14843394351945829"/>
    <n v="6.7197772289372501E-2"/>
    <n v="0.44957626448652671"/>
    <n v="19.93115916814865"/>
  </r>
  <r>
    <x v="5"/>
    <x v="1"/>
    <x v="0"/>
    <n v="2.7273968995179431E-2"/>
    <n v="0.62149300825245546"/>
    <n v="3.8408741296527679E-3"/>
    <n v="5.5205101132535746E-2"/>
    <n v="5.1714391772015374E-2"/>
    <n v="0.46547557738387252"/>
    <n v="19.461298365688947"/>
  </r>
  <r>
    <x v="5"/>
    <x v="1"/>
    <x v="1"/>
    <n v="2.5507317635362028E-2"/>
    <n v="0.60732351543297214"/>
    <n v="5.0643731309432047E-3"/>
    <n v="8.5605438062790404E-2"/>
    <n v="6.551948270485361E-2"/>
    <n v="0.3870441117846864"/>
    <n v="19.633506142185208"/>
  </r>
  <r>
    <x v="5"/>
    <x v="1"/>
    <x v="2"/>
    <n v="2.3383554766917579E-2"/>
    <n v="0.73168002209073413"/>
    <n v="5.2189061728013077E-3"/>
    <n v="9.4679528885219008E-2"/>
    <n v="6.0119827956487515E-2"/>
    <n v="0.44363515709856427"/>
    <n v="19.827733584219995"/>
  </r>
  <r>
    <x v="5"/>
    <x v="1"/>
    <x v="3"/>
    <n v="2.4163021214930708E-2"/>
    <n v="0.49052375293740264"/>
    <n v="9.1118198245135947E-3"/>
    <n v="0.16784754983487774"/>
    <n v="8.2039189825959619E-2"/>
    <n v="0.41320254684316066"/>
    <n v="20.004265550283904"/>
  </r>
  <r>
    <x v="5"/>
    <x v="1"/>
    <x v="4"/>
    <n v="2.4676282730105706E-2"/>
    <n v="0.37153478100558812"/>
    <n v="1.68661997325938E-2"/>
    <n v="0.30288827501888199"/>
    <n v="6.3046604277587848E-2"/>
    <n v="0.35151362959356186"/>
    <n v="20.299941033706354"/>
  </r>
  <r>
    <x v="5"/>
    <x v="1"/>
    <x v="5"/>
    <n v="3.0032597100682637E-2"/>
    <n v="0.43468626205593791"/>
    <n v="1.6038215369642245E-2"/>
    <n v="0.24495380555899865"/>
    <n v="5.5695387590725433E-2"/>
    <n v="0.40119912198410745"/>
    <n v="20.419229458897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n v="833208006"/>
    <n v="679299486"/>
    <n v="42255844"/>
    <n v="63039290"/>
    <n v="372913863"/>
    <n v="29539997"/>
    <n v="18235387"/>
    <n v="8783319"/>
    <n v="7017022"/>
    <n v="1890390"/>
    <x v="0"/>
  </r>
  <r>
    <x v="0"/>
    <x v="0"/>
    <x v="1"/>
    <n v="992517062"/>
    <n v="791186883"/>
    <n v="54546350"/>
    <n v="73651718"/>
    <n v="395373840"/>
    <n v="39956618"/>
    <n v="20123495"/>
    <n v="11551156"/>
    <n v="10800375"/>
    <n v="3780781"/>
    <x v="1"/>
  </r>
  <r>
    <x v="0"/>
    <x v="0"/>
    <x v="2"/>
    <n v="1259144109"/>
    <n v="1015430068"/>
    <n v="55902493"/>
    <n v="89432245"/>
    <n v="477588237"/>
    <n v="41779371"/>
    <n v="20890525"/>
    <n v="11720691"/>
    <n v="9701386"/>
    <n v="0"/>
    <x v="2"/>
  </r>
  <r>
    <x v="0"/>
    <x v="0"/>
    <x v="3"/>
    <n v="1526133734"/>
    <n v="1142574606"/>
    <n v="73322253"/>
    <n v="70950067"/>
    <n v="583810931"/>
    <n v="51581558"/>
    <n v="22572388"/>
    <n v="11474947"/>
    <n v="14061595"/>
    <n v="1890390"/>
    <x v="3"/>
  </r>
  <r>
    <x v="0"/>
    <x v="0"/>
    <x v="4"/>
    <n v="2124005959"/>
    <n v="1293145575"/>
    <n v="97122821"/>
    <n v="160087394"/>
    <n v="633132827"/>
    <n v="72358907"/>
    <n v="28569430"/>
    <n v="14417616"/>
    <n v="21434659"/>
    <n v="3623248"/>
    <x v="4"/>
  </r>
  <r>
    <x v="0"/>
    <x v="0"/>
    <x v="5"/>
    <n v="2498374205"/>
    <n v="1363735115"/>
    <n v="121628559"/>
    <n v="133505285"/>
    <n v="695758143"/>
    <n v="78720528"/>
    <n v="35408493"/>
    <n v="17090815"/>
    <n v="21022671"/>
    <n v="4347898"/>
    <x v="5"/>
  </r>
  <r>
    <x v="1"/>
    <x v="0"/>
    <x v="0"/>
    <n v="3053733753"/>
    <n v="2301899086"/>
    <n v="201421946"/>
    <n v="337241623"/>
    <n v="1073018669"/>
    <n v="113384890"/>
    <n v="82709202"/>
    <n v="29757054"/>
    <n v="15064189"/>
    <n v="7336000"/>
    <x v="6"/>
  </r>
  <r>
    <x v="1"/>
    <x v="0"/>
    <x v="1"/>
    <n v="3643711720"/>
    <n v="2669490716"/>
    <n v="242724765"/>
    <n v="347988749"/>
    <n v="1117320960"/>
    <n v="147794767"/>
    <n v="83151607"/>
    <n v="33639523"/>
    <n v="31523682"/>
    <n v="3668000"/>
    <x v="7"/>
  </r>
  <r>
    <x v="1"/>
    <x v="0"/>
    <x v="2"/>
    <n v="4074588206"/>
    <n v="3184260887"/>
    <n v="257928910"/>
    <n v="409528880"/>
    <n v="1384549476"/>
    <n v="151671703"/>
    <n v="84607713"/>
    <n v="33697001"/>
    <n v="34271494"/>
    <n v="12102000"/>
    <x v="8"/>
  </r>
  <r>
    <x v="1"/>
    <x v="0"/>
    <x v="3"/>
    <n v="4355096917"/>
    <n v="3234176418"/>
    <n v="253775516"/>
    <n v="257368084"/>
    <n v="1622607447"/>
    <n v="190393360"/>
    <n v="110475260"/>
    <n v="41532374"/>
    <n v="30867003"/>
    <n v="11000000"/>
    <x v="9"/>
  </r>
  <r>
    <x v="1"/>
    <x v="0"/>
    <x v="4"/>
    <n v="5201671163"/>
    <n v="3870179912"/>
    <n v="333779408"/>
    <n v="505181227"/>
    <n v="1664016203"/>
    <n v="277297213"/>
    <n v="152339336"/>
    <n v="50737676"/>
    <n v="56855995"/>
    <n v="10634000"/>
    <x v="10"/>
  </r>
  <r>
    <x v="1"/>
    <x v="0"/>
    <x v="5"/>
    <n v="5659803830"/>
    <n v="4091168379"/>
    <n v="377785296"/>
    <n v="421135641"/>
    <n v="2254964431"/>
    <n v="313235711"/>
    <n v="170661897"/>
    <n v="56506395"/>
    <n v="56765819"/>
    <n v="23469000"/>
    <x v="11"/>
  </r>
  <r>
    <x v="2"/>
    <x v="0"/>
    <x v="0"/>
    <n v="470426965"/>
    <n v="369789964"/>
    <n v="17333255"/>
    <n v="25589349"/>
    <n v="242944509"/>
    <n v="10971561"/>
    <n v="10791708"/>
    <n v="5237267"/>
    <n v="24653"/>
    <n v="0"/>
    <x v="12"/>
  </r>
  <r>
    <x v="2"/>
    <x v="0"/>
    <x v="1"/>
    <n v="532168402"/>
    <n v="433062593"/>
    <n v="20592208"/>
    <n v="30421231"/>
    <n v="250199166"/>
    <n v="16453648"/>
    <n v="13019000"/>
    <n v="6262594"/>
    <n v="1150060"/>
    <n v="0"/>
    <x v="13"/>
  </r>
  <r>
    <x v="2"/>
    <x v="0"/>
    <x v="2"/>
    <n v="584288854"/>
    <n v="460705014"/>
    <n v="22024083"/>
    <n v="34266856"/>
    <n v="254183938"/>
    <n v="16971424"/>
    <n v="12722702"/>
    <n v="5520185"/>
    <n v="1304392"/>
    <n v="0"/>
    <x v="14"/>
  </r>
  <r>
    <x v="2"/>
    <x v="0"/>
    <x v="3"/>
    <n v="616715493"/>
    <n v="464131920"/>
    <n v="21546619"/>
    <n v="24764967"/>
    <n v="231101816"/>
    <n v="20156034"/>
    <n v="16748968"/>
    <n v="6863342"/>
    <n v="964778"/>
    <n v="0"/>
    <x v="15"/>
  </r>
  <r>
    <x v="2"/>
    <x v="0"/>
    <x v="4"/>
    <n v="589432458"/>
    <n v="486282778"/>
    <n v="40322068"/>
    <n v="40895031"/>
    <n v="203726900"/>
    <n v="34613610"/>
    <n v="23041555"/>
    <n v="8150566"/>
    <n v="4334918"/>
    <n v="0"/>
    <x v="16"/>
  </r>
  <r>
    <x v="2"/>
    <x v="0"/>
    <x v="5"/>
    <n v="636107268"/>
    <n v="525134376"/>
    <n v="43706634"/>
    <n v="43058132"/>
    <n v="225518627"/>
    <n v="38652972"/>
    <n v="27346237"/>
    <n v="10006538"/>
    <n v="2848466"/>
    <n v="0"/>
    <x v="17"/>
  </r>
  <r>
    <x v="3"/>
    <x v="1"/>
    <x v="0"/>
    <n v="1121258254"/>
    <n v="932579114"/>
    <n v="59015412"/>
    <n v="92193361"/>
    <n v="493775346"/>
    <n v="55859567"/>
    <n v="24830659"/>
    <n v="12739695"/>
    <n v="15232074"/>
    <n v="6079801"/>
    <x v="18"/>
  </r>
  <r>
    <x v="3"/>
    <x v="1"/>
    <x v="1"/>
    <n v="1521559463"/>
    <n v="1254430534"/>
    <n v="69155266"/>
    <n v="136242495"/>
    <n v="512531930"/>
    <n v="74920780"/>
    <n v="28808560"/>
    <n v="15272678"/>
    <n v="22165606"/>
    <n v="8231115"/>
    <x v="19"/>
  </r>
  <r>
    <x v="3"/>
    <x v="1"/>
    <x v="2"/>
    <n v="1902971400"/>
    <n v="1455886468"/>
    <n v="86557775"/>
    <n v="170500698"/>
    <n v="758086120"/>
    <n v="83812909"/>
    <n v="34356293"/>
    <n v="19625308"/>
    <n v="28355157"/>
    <n v="9514013"/>
    <x v="20"/>
  </r>
  <r>
    <x v="3"/>
    <x v="1"/>
    <x v="3"/>
    <n v="2577397511"/>
    <n v="1658490118"/>
    <n v="115320693"/>
    <n v="117743106"/>
    <n v="995508354"/>
    <n v="140806814"/>
    <n v="46239831"/>
    <n v="26327851"/>
    <n v="45006610"/>
    <n v="11713905"/>
    <x v="21"/>
  </r>
  <r>
    <x v="3"/>
    <x v="1"/>
    <x v="4"/>
    <n v="3012108757"/>
    <n v="2217473924"/>
    <n v="184907517"/>
    <n v="242611556"/>
    <n v="961673012"/>
    <n v="248535983"/>
    <n v="67876595"/>
    <n v="39947908"/>
    <n v="84475642"/>
    <n v="26859025"/>
    <x v="22"/>
  </r>
  <r>
    <x v="3"/>
    <x v="1"/>
    <x v="5"/>
    <n v="3900411330"/>
    <n v="2584871300"/>
    <n v="246984292"/>
    <n v="260734258"/>
    <n v="1514755936"/>
    <n v="315917305"/>
    <n v="79509599"/>
    <n v="43732513"/>
    <n v="101507524"/>
    <n v="51995169"/>
    <x v="23"/>
  </r>
  <r>
    <x v="4"/>
    <x v="1"/>
    <x v="0"/>
    <n v="264638618"/>
    <n v="209952073"/>
    <n v="22162634"/>
    <n v="19417428"/>
    <n v="177921837"/>
    <n v="13283535"/>
    <n v="6658707"/>
    <m/>
    <n v="3345597"/>
    <m/>
    <x v="24"/>
  </r>
  <r>
    <x v="4"/>
    <x v="1"/>
    <x v="1"/>
    <n v="303262163"/>
    <n v="237553365"/>
    <n v="24623698"/>
    <n v="19096891"/>
    <n v="199416405"/>
    <n v="14390574"/>
    <n v="7369672"/>
    <m/>
    <n v="2893891"/>
    <m/>
    <x v="25"/>
  </r>
  <r>
    <x v="4"/>
    <x v="1"/>
    <x v="2"/>
    <n v="351474159"/>
    <n v="261573620"/>
    <n v="27567059"/>
    <n v="25761239"/>
    <n v="225364893"/>
    <n v="15553444"/>
    <n v="8285564"/>
    <m/>
    <n v="3089310"/>
    <m/>
    <x v="26"/>
  </r>
  <r>
    <x v="4"/>
    <x v="1"/>
    <x v="3"/>
    <n v="445390462"/>
    <n v="345811211"/>
    <n v="30106817"/>
    <n v="45632108"/>
    <n v="247767953"/>
    <n v="22949607"/>
    <n v="10132049"/>
    <m/>
    <n v="3915574"/>
    <m/>
    <x v="27"/>
  </r>
  <r>
    <x v="4"/>
    <x v="1"/>
    <x v="4"/>
    <n v="430992381"/>
    <n v="324876776"/>
    <n v="37164885"/>
    <n v="28901856"/>
    <n v="243067943"/>
    <n v="34231411"/>
    <n v="12405406"/>
    <m/>
    <n v="6719179"/>
    <m/>
    <x v="28"/>
  </r>
  <r>
    <x v="4"/>
    <x v="1"/>
    <x v="5"/>
    <n v="452889701"/>
    <n v="346872762"/>
    <n v="44946559"/>
    <n v="30433179"/>
    <n v="203608460"/>
    <n v="34204924"/>
    <n v="15839586"/>
    <m/>
    <n v="6671595"/>
    <m/>
    <x v="29"/>
  </r>
  <r>
    <x v="5"/>
    <x v="1"/>
    <x v="0"/>
    <n v="283096494"/>
    <n v="228826675"/>
    <n v="19696332"/>
    <n v="14640163"/>
    <n v="131774504"/>
    <n v="12423575"/>
    <n v="7721165"/>
    <n v="3090808"/>
    <n v="1087338"/>
    <n v="0"/>
    <x v="30"/>
  </r>
  <r>
    <x v="5"/>
    <x v="1"/>
    <x v="1"/>
    <n v="336297298"/>
    <n v="282015950"/>
    <n v="19895173"/>
    <n v="22034025"/>
    <n v="130161889"/>
    <n v="14124337"/>
    <n v="8578042"/>
    <n v="3619430"/>
    <n v="1703135"/>
    <n v="0"/>
    <x v="31"/>
  </r>
  <r>
    <x v="5"/>
    <x v="1"/>
    <x v="2"/>
    <n v="408390174"/>
    <n v="344787956"/>
    <n v="22511202"/>
    <n v="24552347"/>
    <n v="181176239"/>
    <n v="13051626"/>
    <n v="9549614"/>
    <n v="4398458"/>
    <n v="2131350"/>
    <n v="0"/>
    <x v="32"/>
  </r>
  <r>
    <x v="5"/>
    <x v="1"/>
    <x v="3"/>
    <n v="487239112"/>
    <n v="415911942"/>
    <n v="26450401"/>
    <n v="39972702"/>
    <n v="201328442"/>
    <n v="24001221"/>
    <n v="11773169"/>
    <n v="5363050"/>
    <n v="4439635"/>
    <n v="1109000"/>
    <x v="33"/>
  </r>
  <r>
    <x v="5"/>
    <x v="1"/>
    <x v="4"/>
    <n v="654865896"/>
    <n v="522540925"/>
    <n v="36465918"/>
    <n v="41287071"/>
    <n v="230194288"/>
    <n v="43494329"/>
    <n v="16159656"/>
    <n v="7493260"/>
    <n v="11045099"/>
    <n v="3049000"/>
    <x v="34"/>
  </r>
  <r>
    <x v="5"/>
    <x v="1"/>
    <x v="5"/>
    <n v="737834025"/>
    <n v="559177932"/>
    <n v="48309276"/>
    <n v="41093952"/>
    <n v="296018363"/>
    <n v="50977162"/>
    <n v="22159072"/>
    <n v="9947120"/>
    <n v="11833541"/>
    <n v="2772000"/>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D6BF3-9B6F-49C9-8382-3BE63D91412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s" colHeaderCaption="Banks">
  <location ref="A12:G19" firstHeaderRow="1" firstDataRow="2" firstDataCol="1"/>
  <pivotFields count="10">
    <pivotField axis="axisCol" showAll="0" defaultSubtotal="0">
      <items count="7">
        <item x="0"/>
        <item x="5"/>
        <item x="1"/>
        <item x="2"/>
        <item m="1" x="6"/>
        <item x="3"/>
        <item x="4"/>
      </items>
    </pivotField>
    <pivotField showAll="0" defaultSubtotal="0"/>
    <pivotField axis="axisRow" showAll="0" defaultSubtotal="0">
      <items count="6">
        <item x="0"/>
        <item x="1"/>
        <item x="2"/>
        <item x="3"/>
        <item x="4"/>
        <item x="5"/>
      </items>
    </pivotField>
    <pivotField numFmtId="10" showAll="0" defaultSubtotal="0"/>
    <pivotField dataField="1" numFmtId="10" showAll="0" defaultSubtotal="0"/>
    <pivotField numFmtId="10" showAll="0" defaultSubtotal="0"/>
    <pivotField numFmtId="10" showAll="0" defaultSubtotal="0"/>
    <pivotField numFmtId="10" showAll="0" defaultSubtotal="0"/>
    <pivotField numFmtId="10" showAll="0" defaultSubtotal="0"/>
    <pivotField numFmtId="43" showAll="0" defaultSubtotal="0"/>
  </pivotFields>
  <rowFields count="1">
    <field x="2"/>
  </rowFields>
  <rowItems count="6">
    <i>
      <x/>
    </i>
    <i>
      <x v="1"/>
    </i>
    <i>
      <x v="2"/>
    </i>
    <i>
      <x v="3"/>
    </i>
    <i>
      <x v="4"/>
    </i>
    <i>
      <x v="5"/>
    </i>
  </rowItems>
  <colFields count="1">
    <field x="0"/>
  </colFields>
  <colItems count="6">
    <i>
      <x/>
    </i>
    <i>
      <x v="1"/>
    </i>
    <i>
      <x v="2"/>
    </i>
    <i>
      <x v="3"/>
    </i>
    <i>
      <x v="5"/>
    </i>
    <i>
      <x v="6"/>
    </i>
  </colItems>
  <dataFields count="1">
    <dataField name="2. Cost-to-Income Ratio" fld="4" baseField="0" baseItem="0" numFmtId="10"/>
  </dataFields>
  <formats count="11">
    <format dxfId="41">
      <pivotArea type="origin" dataOnly="0" labelOnly="1" outline="0" fieldPosition="0"/>
    </format>
    <format dxfId="40">
      <pivotArea dataOnly="0" labelOnly="1" fieldPosition="0">
        <references count="1">
          <reference field="0" count="1">
            <x v="0"/>
          </reference>
        </references>
      </pivotArea>
    </format>
    <format dxfId="39">
      <pivotArea dataOnly="0" labelOnly="1" fieldPosition="0">
        <references count="1">
          <reference field="0" count="1">
            <x v="1"/>
          </reference>
        </references>
      </pivotArea>
    </format>
    <format dxfId="38">
      <pivotArea dataOnly="0" labelOnly="1" fieldPosition="0">
        <references count="1">
          <reference field="0" count="1">
            <x v="1"/>
          </reference>
        </references>
      </pivotArea>
    </format>
    <format dxfId="37">
      <pivotArea dataOnly="0" labelOnly="1" fieldPosition="0">
        <references count="1">
          <reference field="0" count="1">
            <x v="2"/>
          </reference>
        </references>
      </pivotArea>
    </format>
    <format dxfId="36">
      <pivotArea dataOnly="0" labelOnly="1" fieldPosition="0">
        <references count="1">
          <reference field="0" count="1">
            <x v="3"/>
          </reference>
        </references>
      </pivotArea>
    </format>
    <format dxfId="35">
      <pivotArea dataOnly="0" labelOnly="1" fieldPosition="0">
        <references count="1">
          <reference field="0" count="1">
            <x v="4"/>
          </reference>
        </references>
      </pivotArea>
    </format>
    <format dxfId="34">
      <pivotArea dataOnly="0" labelOnly="1" fieldPosition="0">
        <references count="1">
          <reference field="0" count="1">
            <x v="5"/>
          </reference>
        </references>
      </pivotArea>
    </format>
    <format dxfId="33">
      <pivotArea dataOnly="0" labelOnly="1" fieldPosition="0">
        <references count="1">
          <reference field="0" count="1">
            <x v="0"/>
          </reference>
        </references>
      </pivotArea>
    </format>
    <format dxfId="32">
      <pivotArea dataOnly="0" labelOnly="1" fieldPosition="0">
        <references count="1">
          <reference field="0" count="1">
            <x v="2"/>
          </reference>
        </references>
      </pivotArea>
    </format>
    <format dxfId="31">
      <pivotArea dataOnly="0" labelOnly="1" fieldPosition="0">
        <references count="1">
          <reference field="0" count="1">
            <x v="4"/>
          </reference>
        </references>
      </pivotArea>
    </format>
  </formats>
  <chartFormats count="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D8DE0-8C05-40FD-8E23-C401306307F4}"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Years" colHeaderCaption="Banks">
  <location ref="A3:G10" firstHeaderRow="1" firstDataRow="2" firstDataCol="1"/>
  <pivotFields count="10">
    <pivotField axis="axisCol" showAll="0" defaultSubtotal="0">
      <items count="7">
        <item x="0"/>
        <item x="5"/>
        <item x="1"/>
        <item x="2"/>
        <item m="1" x="6"/>
        <item x="3"/>
        <item x="4"/>
      </items>
    </pivotField>
    <pivotField showAll="0" defaultSubtotal="0"/>
    <pivotField axis="axisRow" showAll="0" defaultSubtotal="0">
      <items count="6">
        <item x="0"/>
        <item x="1"/>
        <item x="2"/>
        <item x="3"/>
        <item x="4"/>
        <item x="5"/>
      </items>
    </pivotField>
    <pivotField dataField="1" numFmtId="10" showAll="0" defaultSubtotal="0"/>
    <pivotField numFmtId="10" showAll="0" defaultSubtotal="0"/>
    <pivotField numFmtId="10" showAll="0" defaultSubtotal="0"/>
    <pivotField numFmtId="10" showAll="0" defaultSubtotal="0"/>
    <pivotField numFmtId="10" showAll="0" defaultSubtotal="0"/>
    <pivotField numFmtId="10" showAll="0" defaultSubtotal="0"/>
    <pivotField numFmtId="43" showAll="0" defaultSubtotal="0"/>
  </pivotFields>
  <rowFields count="1">
    <field x="2"/>
  </rowFields>
  <rowItems count="6">
    <i>
      <x/>
    </i>
    <i>
      <x v="1"/>
    </i>
    <i>
      <x v="2"/>
    </i>
    <i>
      <x v="3"/>
    </i>
    <i>
      <x v="4"/>
    </i>
    <i>
      <x v="5"/>
    </i>
  </rowItems>
  <colFields count="1">
    <field x="0"/>
  </colFields>
  <colItems count="6">
    <i>
      <x/>
    </i>
    <i>
      <x v="1"/>
    </i>
    <i>
      <x v="2"/>
    </i>
    <i>
      <x v="3"/>
    </i>
    <i>
      <x v="5"/>
    </i>
    <i>
      <x v="6"/>
    </i>
  </colItems>
  <dataFields count="1">
    <dataField name="1. Operating Expense Ratio" fld="3" baseField="0" baseItem="0" numFmtId="10"/>
  </dataFields>
  <formats count="1">
    <format dxfId="42">
      <pivotArea type="origin" dataOnly="0" labelOnly="1" outline="0" fieldPosition="0"/>
    </format>
  </formats>
  <chartFormats count="8">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 chart="2" format="9" series="1">
      <pivotArea type="data" outline="0" fieldPosition="0">
        <references count="2">
          <reference field="4294967294" count="1" selected="0">
            <x v="0"/>
          </reference>
          <reference field="0" count="1" selected="0">
            <x v="3"/>
          </reference>
        </references>
      </pivotArea>
    </chartFormat>
    <chartFormat chart="2" format="10" series="1">
      <pivotArea type="data" outline="0" fieldPosition="0">
        <references count="2">
          <reference field="4294967294" count="1" selected="0">
            <x v="0"/>
          </reference>
          <reference field="0" count="1" selected="0">
            <x v="4"/>
          </reference>
        </references>
      </pivotArea>
    </chartFormat>
    <chartFormat chart="2"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AA7CC-C249-4742-99F9-E5DA253E669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s" colHeaderCaption="Banks">
  <location ref="A21:G28" firstHeaderRow="1" firstDataRow="2" firstDataCol="1"/>
  <pivotFields count="10">
    <pivotField axis="axisCol" showAll="0" defaultSubtotal="0">
      <items count="7">
        <item x="0"/>
        <item x="5"/>
        <item x="1"/>
        <item x="2"/>
        <item m="1" x="6"/>
        <item x="3"/>
        <item x="4"/>
      </items>
    </pivotField>
    <pivotField showAll="0" defaultSubtotal="0"/>
    <pivotField axis="axisRow" showAll="0" defaultSubtotal="0">
      <items count="6">
        <item x="0"/>
        <item x="1"/>
        <item x="2"/>
        <item x="3"/>
        <item x="4"/>
        <item x="5"/>
      </items>
    </pivotField>
    <pivotField numFmtId="10" showAll="0" defaultSubtotal="0"/>
    <pivotField numFmtId="10" showAll="0" defaultSubtotal="0"/>
    <pivotField dataField="1" numFmtId="10" showAll="0" defaultSubtotal="0"/>
    <pivotField numFmtId="10" showAll="0" defaultSubtotal="0"/>
    <pivotField numFmtId="10" showAll="0" defaultSubtotal="0"/>
    <pivotField numFmtId="10" showAll="0" defaultSubtotal="0"/>
    <pivotField numFmtId="43" showAll="0" defaultSubtotal="0"/>
  </pivotFields>
  <rowFields count="1">
    <field x="2"/>
  </rowFields>
  <rowItems count="6">
    <i>
      <x/>
    </i>
    <i>
      <x v="1"/>
    </i>
    <i>
      <x v="2"/>
    </i>
    <i>
      <x v="3"/>
    </i>
    <i>
      <x v="4"/>
    </i>
    <i>
      <x v="5"/>
    </i>
  </rowItems>
  <colFields count="1">
    <field x="0"/>
  </colFields>
  <colItems count="6">
    <i>
      <x/>
    </i>
    <i>
      <x v="1"/>
    </i>
    <i>
      <x v="2"/>
    </i>
    <i>
      <x v="3"/>
    </i>
    <i>
      <x v="5"/>
    </i>
    <i>
      <x v="6"/>
    </i>
  </colItems>
  <dataFields count="1">
    <dataField name="3. ROA" fld="5" baseField="0" baseItem="0" numFmtId="10"/>
  </dataFields>
  <formats count="11">
    <format dxfId="53">
      <pivotArea type="origin" dataOnly="0" labelOnly="1" outline="0" fieldPosition="0"/>
    </format>
    <format dxfId="52">
      <pivotArea dataOnly="0" labelOnly="1" fieldPosition="0">
        <references count="1">
          <reference field="0" count="1">
            <x v="0"/>
          </reference>
        </references>
      </pivotArea>
    </format>
    <format dxfId="51">
      <pivotArea dataOnly="0" labelOnly="1" fieldPosition="0">
        <references count="1">
          <reference field="0" count="1">
            <x v="1"/>
          </reference>
        </references>
      </pivotArea>
    </format>
    <format dxfId="50">
      <pivotArea dataOnly="0" labelOnly="1" fieldPosition="0">
        <references count="1">
          <reference field="0" count="1">
            <x v="1"/>
          </reference>
        </references>
      </pivotArea>
    </format>
    <format dxfId="49">
      <pivotArea dataOnly="0" labelOnly="1" fieldPosition="0">
        <references count="1">
          <reference field="0" count="1">
            <x v="2"/>
          </reference>
        </references>
      </pivotArea>
    </format>
    <format dxfId="48">
      <pivotArea dataOnly="0" labelOnly="1" fieldPosition="0">
        <references count="1">
          <reference field="0" count="1">
            <x v="3"/>
          </reference>
        </references>
      </pivotArea>
    </format>
    <format dxfId="47">
      <pivotArea dataOnly="0" labelOnly="1" fieldPosition="0">
        <references count="1">
          <reference field="0" count="1">
            <x v="4"/>
          </reference>
        </references>
      </pivotArea>
    </format>
    <format dxfId="46">
      <pivotArea dataOnly="0" labelOnly="1" fieldPosition="0">
        <references count="1">
          <reference field="0" count="1">
            <x v="5"/>
          </reference>
        </references>
      </pivotArea>
    </format>
    <format dxfId="45">
      <pivotArea dataOnly="0" labelOnly="1" fieldPosition="0">
        <references count="1">
          <reference field="0" count="1">
            <x v="0"/>
          </reference>
        </references>
      </pivotArea>
    </format>
    <format dxfId="44">
      <pivotArea dataOnly="0" labelOnly="1" fieldPosition="0">
        <references count="1">
          <reference field="0" count="1">
            <x v="2"/>
          </reference>
        </references>
      </pivotArea>
    </format>
    <format dxfId="43">
      <pivotArea dataOnly="0" labelOnly="1" fieldPosition="0">
        <references count="1">
          <reference field="0" count="1">
            <x v="4"/>
          </reference>
        </references>
      </pivotArea>
    </format>
  </formats>
  <chartFormats count="7">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784E2-290C-46B5-A672-07B61985D80A}"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ank Type">
  <location ref="A3:G5" firstHeaderRow="0" firstDataRow="1" firstDataCol="1"/>
  <pivotFields count="10">
    <pivotField showAll="0"/>
    <pivotField axis="axisRow" showAll="0">
      <items count="3">
        <item x="0"/>
        <item x="1"/>
        <item t="default"/>
      </items>
    </pivotField>
    <pivotField showAll="0"/>
    <pivotField dataField="1" numFmtId="10" showAll="0"/>
    <pivotField dataField="1" numFmtId="10" showAll="0"/>
    <pivotField dataField="1" numFmtId="10" showAll="0"/>
    <pivotField dataField="1" numFmtId="10" showAll="0"/>
    <pivotField dataField="1" numFmtId="10" showAll="0"/>
    <pivotField dataField="1" numFmtId="10" showAll="0"/>
    <pivotField numFmtId="43" showAll="0"/>
  </pivotFields>
  <rowFields count="1">
    <field x="1"/>
  </rowFields>
  <rowItems count="2">
    <i>
      <x/>
    </i>
    <i>
      <x v="1"/>
    </i>
  </rowItems>
  <colFields count="1">
    <field x="-2"/>
  </colFields>
  <colItems count="6">
    <i>
      <x/>
    </i>
    <i i="1">
      <x v="1"/>
    </i>
    <i i="2">
      <x v="2"/>
    </i>
    <i i="3">
      <x v="3"/>
    </i>
    <i i="4">
      <x v="4"/>
    </i>
    <i i="5">
      <x v="5"/>
    </i>
  </colItems>
  <dataFields count="6">
    <dataField name="Average of Operating Expense Ratio" fld="3" subtotal="average" baseField="1" baseItem="0" numFmtId="10"/>
    <dataField name="Average of Cost-to-Income Ratio" fld="4" subtotal="average" baseField="1" baseItem="0" numFmtId="10"/>
    <dataField name="Average of ROA" fld="5" subtotal="average" baseField="1" baseItem="0" numFmtId="10"/>
    <dataField name="Average of ROE" fld="6" subtotal="average" baseField="1" baseItem="0" numFmtId="10"/>
    <dataField name="Average of Cash-to-Assets Ratio" fld="7" subtotal="average" baseField="1" baseItem="0" numFmtId="10"/>
    <dataField name="Average of Financing-to-Assets Ratio" fld="8"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199CE-35A8-43FE-BDA2-84B43225E583}" name="PivotTable1"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 rowHeaderCaption="Banks" colHeaderCaption="Years">
  <location ref="A3:G10" firstHeaderRow="1" firstDataRow="2" firstDataCol="1" rowPageCount="1" colPageCount="1"/>
  <pivotFields count="14">
    <pivotField axis="axisRow" multipleItemSelectionAllowed="1" showAll="0">
      <items count="7">
        <item x="0"/>
        <item x="5"/>
        <item x="4"/>
        <item x="1"/>
        <item x="2"/>
        <item x="3"/>
        <item t="default"/>
      </items>
    </pivotField>
    <pivotField axis="axisPage" showAll="0">
      <items count="3">
        <item x="0"/>
        <item x="1"/>
        <item t="default"/>
      </items>
    </pivotField>
    <pivotField axis="axisCol" showAll="0">
      <items count="7">
        <item x="0"/>
        <item x="1"/>
        <item x="2"/>
        <item x="3"/>
        <item x="4"/>
        <item x="5"/>
        <item t="default"/>
      </items>
    </pivotField>
    <pivotField numFmtId="3" showAll="0"/>
    <pivotField numFmtId="3" showAll="0"/>
    <pivotField numFmtId="3" showAll="0"/>
    <pivotField numFmtId="3" showAll="0"/>
    <pivotField numFmtId="3" showAll="0"/>
    <pivotField numFmtId="3" showAll="0"/>
    <pivotField numFmtId="3" showAll="0"/>
    <pivotField showAll="0"/>
    <pivotField numFmtId="3" showAll="0"/>
    <pivotField showAll="0"/>
    <pivotField dataField="1" numFmtId="3" showAll="0">
      <items count="37">
        <item x="24"/>
        <item x="25"/>
        <item x="26"/>
        <item x="28"/>
        <item x="31"/>
        <item x="30"/>
        <item x="27"/>
        <item x="29"/>
        <item x="32"/>
        <item x="14"/>
        <item x="33"/>
        <item x="15"/>
        <item x="12"/>
        <item x="16"/>
        <item x="17"/>
        <item x="13"/>
        <item x="34"/>
        <item x="35"/>
        <item x="3"/>
        <item x="2"/>
        <item x="0"/>
        <item x="4"/>
        <item x="1"/>
        <item x="5"/>
        <item x="18"/>
        <item x="19"/>
        <item x="20"/>
        <item x="21"/>
        <item x="10"/>
        <item x="11"/>
        <item x="7"/>
        <item x="22"/>
        <item x="6"/>
        <item x="8"/>
        <item x="9"/>
        <item x="23"/>
        <item t="default"/>
      </items>
    </pivotField>
  </pivotFields>
  <rowFields count="1">
    <field x="0"/>
  </rowFields>
  <rowItems count="6">
    <i>
      <x/>
    </i>
    <i>
      <x v="1"/>
    </i>
    <i>
      <x v="2"/>
    </i>
    <i>
      <x v="3"/>
    </i>
    <i>
      <x v="4"/>
    </i>
    <i>
      <x v="5"/>
    </i>
  </rowItems>
  <colFields count="1">
    <field x="2"/>
  </colFields>
  <colItems count="6">
    <i>
      <x/>
    </i>
    <i>
      <x v="1"/>
    </i>
    <i>
      <x v="2"/>
    </i>
    <i>
      <x v="3"/>
    </i>
    <i>
      <x v="4"/>
    </i>
    <i>
      <x v="5"/>
    </i>
  </colItems>
  <pageFields count="1">
    <pageField fld="1" hier="-1"/>
  </pageFields>
  <dataFields count="1">
    <dataField name="Staff Strength Comparison" fld="13" baseField="0" baseItem="0" numFmtId="3"/>
  </dataFields>
  <chartFormats count="3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3">
          <reference field="4294967294" count="1" selected="0">
            <x v="0"/>
          </reference>
          <reference field="0" count="1" selected="0">
            <x v="0"/>
          </reference>
          <reference field="2" count="1" selected="0">
            <x v="1"/>
          </reference>
        </references>
      </pivotArea>
    </chartFormat>
    <chartFormat chart="0" format="8"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9" series="1">
      <pivotArea type="data" outline="0" fieldPosition="0">
        <references count="3">
          <reference field="4294967294" count="1" selected="0">
            <x v="0"/>
          </reference>
          <reference field="0" count="1" selected="0">
            <x v="2"/>
          </reference>
          <reference field="2" count="1" selected="0">
            <x v="1"/>
          </reference>
        </references>
      </pivotArea>
    </chartFormat>
    <chartFormat chart="0" format="10" series="1">
      <pivotArea type="data" outline="0" fieldPosition="0">
        <references count="3">
          <reference field="4294967294" count="1" selected="0">
            <x v="0"/>
          </reference>
          <reference field="0" count="1" selected="0">
            <x v="3"/>
          </reference>
          <reference field="2" count="1" selected="0">
            <x v="1"/>
          </reference>
        </references>
      </pivotArea>
    </chartFormat>
    <chartFormat chart="0" format="11" series="1">
      <pivotArea type="data" outline="0" fieldPosition="0">
        <references count="3">
          <reference field="4294967294" count="1" selected="0">
            <x v="0"/>
          </reference>
          <reference field="0" count="1" selected="0">
            <x v="4"/>
          </reference>
          <reference field="2" count="1" selected="0">
            <x v="1"/>
          </reference>
        </references>
      </pivotArea>
    </chartFormat>
    <chartFormat chart="0" format="12" series="1">
      <pivotArea type="data" outline="0" fieldPosition="0">
        <references count="3">
          <reference field="4294967294" count="1" selected="0">
            <x v="0"/>
          </reference>
          <reference field="0" count="1" selected="0">
            <x v="5"/>
          </reference>
          <reference field="2" count="1" selected="0">
            <x v="1"/>
          </reference>
        </references>
      </pivotArea>
    </chartFormat>
    <chartFormat chart="0" format="13"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14" series="1">
      <pivotArea type="data" outline="0" fieldPosition="0">
        <references count="3">
          <reference field="4294967294" count="1" selected="0">
            <x v="0"/>
          </reference>
          <reference field="0" count="1" selected="0">
            <x v="1"/>
          </reference>
          <reference field="2" count="1" selected="0">
            <x v="2"/>
          </reference>
        </references>
      </pivotArea>
    </chartFormat>
    <chartFormat chart="0" format="15" series="1">
      <pivotArea type="data" outline="0" fieldPosition="0">
        <references count="3">
          <reference field="4294967294" count="1" selected="0">
            <x v="0"/>
          </reference>
          <reference field="0" count="1" selected="0">
            <x v="2"/>
          </reference>
          <reference field="2" count="1" selected="0">
            <x v="2"/>
          </reference>
        </references>
      </pivotArea>
    </chartFormat>
    <chartFormat chart="0" format="16" series="1">
      <pivotArea type="data" outline="0" fieldPosition="0">
        <references count="3">
          <reference field="4294967294" count="1" selected="0">
            <x v="0"/>
          </reference>
          <reference field="0" count="1" selected="0">
            <x v="3"/>
          </reference>
          <reference field="2" count="1" selected="0">
            <x v="2"/>
          </reference>
        </references>
      </pivotArea>
    </chartFormat>
    <chartFormat chart="0" format="17" series="1">
      <pivotArea type="data" outline="0" fieldPosition="0">
        <references count="3">
          <reference field="4294967294" count="1" selected="0">
            <x v="0"/>
          </reference>
          <reference field="0" count="1" selected="0">
            <x v="4"/>
          </reference>
          <reference field="2" count="1" selected="0">
            <x v="2"/>
          </reference>
        </references>
      </pivotArea>
    </chartFormat>
    <chartFormat chart="0" format="18" series="1">
      <pivotArea type="data" outline="0" fieldPosition="0">
        <references count="3">
          <reference field="4294967294" count="1" selected="0">
            <x v="0"/>
          </reference>
          <reference field="0" count="1" selected="0">
            <x v="5"/>
          </reference>
          <reference field="2" count="1" selected="0">
            <x v="2"/>
          </reference>
        </references>
      </pivotArea>
    </chartFormat>
    <chartFormat chart="0" format="19" series="1">
      <pivotArea type="data" outline="0" fieldPosition="0">
        <references count="3">
          <reference field="4294967294" count="1" selected="0">
            <x v="0"/>
          </reference>
          <reference field="0" count="1" selected="0">
            <x v="0"/>
          </reference>
          <reference field="2" count="1" selected="0">
            <x v="3"/>
          </reference>
        </references>
      </pivotArea>
    </chartFormat>
    <chartFormat chart="0" format="20" series="1">
      <pivotArea type="data" outline="0" fieldPosition="0">
        <references count="3">
          <reference field="4294967294" count="1" selected="0">
            <x v="0"/>
          </reference>
          <reference field="0" count="1" selected="0">
            <x v="1"/>
          </reference>
          <reference field="2" count="1" selected="0">
            <x v="3"/>
          </reference>
        </references>
      </pivotArea>
    </chartFormat>
    <chartFormat chart="0" format="21" series="1">
      <pivotArea type="data" outline="0" fieldPosition="0">
        <references count="3">
          <reference field="4294967294" count="1" selected="0">
            <x v="0"/>
          </reference>
          <reference field="0" count="1" selected="0">
            <x v="2"/>
          </reference>
          <reference field="2" count="1" selected="0">
            <x v="3"/>
          </reference>
        </references>
      </pivotArea>
    </chartFormat>
    <chartFormat chart="0" format="22" series="1">
      <pivotArea type="data" outline="0" fieldPosition="0">
        <references count="3">
          <reference field="4294967294" count="1" selected="0">
            <x v="0"/>
          </reference>
          <reference field="0" count="1" selected="0">
            <x v="3"/>
          </reference>
          <reference field="2" count="1" selected="0">
            <x v="3"/>
          </reference>
        </references>
      </pivotArea>
    </chartFormat>
    <chartFormat chart="0" format="23" series="1">
      <pivotArea type="data" outline="0" fieldPosition="0">
        <references count="3">
          <reference field="4294967294" count="1" selected="0">
            <x v="0"/>
          </reference>
          <reference field="0" count="1" selected="0">
            <x v="4"/>
          </reference>
          <reference field="2" count="1" selected="0">
            <x v="3"/>
          </reference>
        </references>
      </pivotArea>
    </chartFormat>
    <chartFormat chart="0" format="24" series="1">
      <pivotArea type="data" outline="0" fieldPosition="0">
        <references count="3">
          <reference field="4294967294" count="1" selected="0">
            <x v="0"/>
          </reference>
          <reference field="0" count="1" selected="0">
            <x v="5"/>
          </reference>
          <reference field="2" count="1" selected="0">
            <x v="3"/>
          </reference>
        </references>
      </pivotArea>
    </chartFormat>
    <chartFormat chart="0" format="25" series="1">
      <pivotArea type="data" outline="0" fieldPosition="0">
        <references count="3">
          <reference field="4294967294" count="1" selected="0">
            <x v="0"/>
          </reference>
          <reference field="0" count="1" selected="0">
            <x v="0"/>
          </reference>
          <reference field="2" count="1" selected="0">
            <x v="4"/>
          </reference>
        </references>
      </pivotArea>
    </chartFormat>
    <chartFormat chart="0" format="26" series="1">
      <pivotArea type="data" outline="0" fieldPosition="0">
        <references count="3">
          <reference field="4294967294" count="1" selected="0">
            <x v="0"/>
          </reference>
          <reference field="0" count="1" selected="0">
            <x v="1"/>
          </reference>
          <reference field="2" count="1" selected="0">
            <x v="4"/>
          </reference>
        </references>
      </pivotArea>
    </chartFormat>
    <chartFormat chart="0" format="27" series="1">
      <pivotArea type="data" outline="0" fieldPosition="0">
        <references count="3">
          <reference field="4294967294" count="1" selected="0">
            <x v="0"/>
          </reference>
          <reference field="0" count="1" selected="0">
            <x v="2"/>
          </reference>
          <reference field="2" count="1" selected="0">
            <x v="4"/>
          </reference>
        </references>
      </pivotArea>
    </chartFormat>
    <chartFormat chart="0" format="28" series="1">
      <pivotArea type="data" outline="0" fieldPosition="0">
        <references count="3">
          <reference field="4294967294" count="1" selected="0">
            <x v="0"/>
          </reference>
          <reference field="0" count="1" selected="0">
            <x v="3"/>
          </reference>
          <reference field="2" count="1" selected="0">
            <x v="4"/>
          </reference>
        </references>
      </pivotArea>
    </chartFormat>
    <chartFormat chart="0" format="29" series="1">
      <pivotArea type="data" outline="0" fieldPosition="0">
        <references count="3">
          <reference field="4294967294" count="1" selected="0">
            <x v="0"/>
          </reference>
          <reference field="0" count="1" selected="0">
            <x v="4"/>
          </reference>
          <reference field="2" count="1" selected="0">
            <x v="4"/>
          </reference>
        </references>
      </pivotArea>
    </chartFormat>
    <chartFormat chart="0" format="30" series="1">
      <pivotArea type="data" outline="0" fieldPosition="0">
        <references count="3">
          <reference field="4294967294" count="1" selected="0">
            <x v="0"/>
          </reference>
          <reference field="0" count="1" selected="0">
            <x v="5"/>
          </reference>
          <reference field="2" count="1" selected="0">
            <x v="4"/>
          </reference>
        </references>
      </pivotArea>
    </chartFormat>
    <chartFormat chart="0" format="31" series="1">
      <pivotArea type="data" outline="0" fieldPosition="0">
        <references count="3">
          <reference field="4294967294" count="1" selected="0">
            <x v="0"/>
          </reference>
          <reference field="0" count="1" selected="0">
            <x v="0"/>
          </reference>
          <reference field="2" count="1" selected="0">
            <x v="5"/>
          </reference>
        </references>
      </pivotArea>
    </chartFormat>
    <chartFormat chart="0" format="32" series="1">
      <pivotArea type="data" outline="0" fieldPosition="0">
        <references count="3">
          <reference field="4294967294" count="1" selected="0">
            <x v="0"/>
          </reference>
          <reference field="0" count="1" selected="0">
            <x v="1"/>
          </reference>
          <reference field="2" count="1" selected="0">
            <x v="5"/>
          </reference>
        </references>
      </pivotArea>
    </chartFormat>
    <chartFormat chart="0" format="33" series="1">
      <pivotArea type="data" outline="0" fieldPosition="0">
        <references count="3">
          <reference field="4294967294" count="1" selected="0">
            <x v="0"/>
          </reference>
          <reference field="0" count="1" selected="0">
            <x v="2"/>
          </reference>
          <reference field="2" count="1" selected="0">
            <x v="5"/>
          </reference>
        </references>
      </pivotArea>
    </chartFormat>
    <chartFormat chart="0" format="34" series="1">
      <pivotArea type="data" outline="0" fieldPosition="0">
        <references count="3">
          <reference field="4294967294" count="1" selected="0">
            <x v="0"/>
          </reference>
          <reference field="0" count="1" selected="0">
            <x v="3"/>
          </reference>
          <reference field="2" count="1" selected="0">
            <x v="5"/>
          </reference>
        </references>
      </pivotArea>
    </chartFormat>
    <chartFormat chart="0" format="35" series="1">
      <pivotArea type="data" outline="0" fieldPosition="0">
        <references count="3">
          <reference field="4294967294" count="1" selected="0">
            <x v="0"/>
          </reference>
          <reference field="0" count="1" selected="0">
            <x v="4"/>
          </reference>
          <reference field="2" count="1" selected="0">
            <x v="5"/>
          </reference>
        </references>
      </pivotArea>
    </chartFormat>
    <chartFormat chart="0" format="36" series="1">
      <pivotArea type="data" outline="0" fieldPosition="0">
        <references count="3">
          <reference field="4294967294" count="1" selected="0">
            <x v="0"/>
          </reference>
          <reference field="0" count="1" selected="0">
            <x v="5"/>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975A7B-890B-4389-B006-2BFC47D4D90D}" sourceName="Year">
  <pivotTables>
    <pivotTable tabId="19" name="PivotTable1"/>
  </pivotTables>
  <data>
    <tabular pivotCacheId="485365585">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Type" xr10:uid="{03769F6B-4EA4-449A-9581-FFCF58050B86}" sourceName="Bank_Type ">
  <pivotTables>
    <pivotTable tabId="19" name="PivotTable1"/>
  </pivotTables>
  <data>
    <tabular pivotCacheId="4853655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04832E-532A-4C4E-8AF9-2EEF674176C8}" cache="Slicer_Year" caption="Year" rowHeight="251883"/>
  <slicer name="Bank_Type " xr10:uid="{EF7C3E4F-48A3-4C8C-85FE-6DFDD636E51B}" cache="Slicer_Bank_Type" caption="Bank_Type "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87B936-71FD-4413-8743-C7B8C758F45F}" name="Table3" displayName="Table3" ref="A1:N37" totalsRowShown="0" headerRowDxfId="82">
  <autoFilter ref="A1:N37" xr:uid="{4B87B936-71FD-4413-8743-C7B8C758F45F}"/>
  <tableColumns count="14">
    <tableColumn id="1" xr3:uid="{3DA66D63-4C0F-4F72-9E10-DD2FE7A6785B}" name="Bank"/>
    <tableColumn id="2" xr3:uid="{EC2F51EF-1076-4FFA-8691-F9A1AB354075}" name="Bank_Type "/>
    <tableColumn id="3" xr3:uid="{F2388571-31B3-4793-B5A3-75B01DFB0083}" name="Year"/>
    <tableColumn id="4" xr3:uid="{997346BF-264A-4546-9193-DC48B674EE1B}" name="Total Assets"/>
    <tableColumn id="5" xr3:uid="{C893321F-E1DB-44C1-A488-0323C63B08D4}" name="Total Deposits"/>
    <tableColumn id="6" xr3:uid="{397AF7CF-198C-474C-9A64-B24787C372F1}" name="Total Equity"/>
    <tableColumn id="7" xr3:uid="{2274240C-2A2C-4774-8B0C-6AD139DFC2DF}" name="Cash"/>
    <tableColumn id="8" xr3:uid="{F8B41A85-F278-4CC3-846D-58D0810D0E60}" name="Financing/Loans"/>
    <tableColumn id="9" xr3:uid="{EDA3930C-793B-4C1B-97E9-E17EBCB67AA1}" name="Operating Income"/>
    <tableColumn id="10" xr3:uid="{3667483D-8288-4734-939F-EC5CFCD52B76}" name="Operating Expenses"/>
    <tableColumn id="11" xr3:uid="{0BEAB750-E038-4CBD-93A5-203B5CAEB690}" name="Staff Expenses"/>
    <tableColumn id="12" xr3:uid="{FB695DB8-FE7E-481F-9BC4-B7AE71F8FFC6}" name="Net Profit"/>
    <tableColumn id="13" xr3:uid="{8C9E78F5-BB3C-4281-8D41-64152CDB7220}" name="Profit Distributed"/>
    <tableColumn id="14" xr3:uid="{04207398-3A72-4425-9A4A-33089E9704FC}" name="Staff Streng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761995-5733-40D1-9201-4590D584E1EE}" name="Table5" displayName="Table5" ref="A1:J37" totalsRowShown="0">
  <autoFilter ref="A1:J37" xr:uid="{B8761995-5733-40D1-9201-4590D584E1EE}"/>
  <tableColumns count="10">
    <tableColumn id="1" xr3:uid="{E1F6A49E-C855-44D1-89CF-F1F1621105E3}" name="Bank" dataDxfId="81">
      <calculatedColumnFormula>('Raw Data'!A2)</calculatedColumnFormula>
    </tableColumn>
    <tableColumn id="2" xr3:uid="{532C724A-5C73-476F-995F-30B89F755DF1}" name="Bank Type">
      <calculatedColumnFormula>('Raw Data'!B2)</calculatedColumnFormula>
    </tableColumn>
    <tableColumn id="3" xr3:uid="{A42F7C14-1784-4DCE-85E5-B50151CD6232}" name="Years">
      <calculatedColumnFormula>('Raw Data'!C2)</calculatedColumnFormula>
    </tableColumn>
    <tableColumn id="4" xr3:uid="{FFDFC527-6085-476E-9970-0B777565D254}" name="Operating Expense Ratio" dataDxfId="80" dataCellStyle="Percent">
      <calculatedColumnFormula>('Raw Data'!J2)/('Raw Data'!D2)</calculatedColumnFormula>
    </tableColumn>
    <tableColumn id="5" xr3:uid="{45E68CEB-AF6A-412B-8786-CACD7B3A1F9E}" name="Cost-to-Income Ratio" dataDxfId="79" dataCellStyle="Percent">
      <calculatedColumnFormula>'Raw Data'!J2/'Raw Data'!I2</calculatedColumnFormula>
    </tableColumn>
    <tableColumn id="6" xr3:uid="{876894E5-DCE9-4125-A6CC-4AA700D7477A}" name="ROA" dataDxfId="78" dataCellStyle="Percent">
      <calculatedColumnFormula>'Raw Data'!L2/'Raw Data'!D2</calculatedColumnFormula>
    </tableColumn>
    <tableColumn id="7" xr3:uid="{78D53F46-8FC0-4398-B754-8B2BDE3827F6}" name="ROE" dataDxfId="77" dataCellStyle="Percent">
      <calculatedColumnFormula>'Raw Data'!L2/'Raw Data'!F2</calculatedColumnFormula>
    </tableColumn>
    <tableColumn id="8" xr3:uid="{376CBC9E-50E8-4551-8962-A4F1C5A4933A}" name="Cash-to-Assets Ratio" dataDxfId="76" dataCellStyle="Percent">
      <calculatedColumnFormula>'Raw Data'!G2/'Raw Data'!D2</calculatedColumnFormula>
    </tableColumn>
    <tableColumn id="9" xr3:uid="{A779481A-D825-458D-8D7D-7D9F98D79CC7}" name="Financing-to-Assets Ratio" dataDxfId="75" dataCellStyle="Percent">
      <calculatedColumnFormula>'Raw Data'!H2/'Raw Data'!D2</calculatedColumnFormula>
    </tableColumn>
    <tableColumn id="10" xr3:uid="{73C9EA77-E08E-4C70-8648-393D6B20F2DC}" name="Bank Size " dataCellStyle="Comma">
      <calculatedColumnFormula>LN('Raw Data'!D2)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E0F217-9FC5-49E8-9991-11C0FC40E8F0}" name="Table6" displayName="Table6" ref="A1:H6" totalsRowShown="0" headerRowDxfId="74" headerRowCellStyle="Percent">
  <autoFilter ref="A1:H6" xr:uid="{4AE0F217-9FC5-49E8-9991-11C0FC40E8F0}"/>
  <tableColumns count="8">
    <tableColumn id="1" xr3:uid="{33BBF770-2834-43BE-B64D-AA378A67A7CD}" name="Statistic"/>
    <tableColumn id="2" xr3:uid="{70CE9E54-C2FA-4A4E-A229-E37B568835E9}" name="Operating Expense Ratio" dataDxfId="73" dataCellStyle="Percent">
      <calculatedColumnFormula>AVERAGE(Ratios!D2:D37)</calculatedColumnFormula>
    </tableColumn>
    <tableColumn id="3" xr3:uid="{675D8816-8EAF-4C7A-99B7-ED36248FAAFC}" name="Cost-to-Income Ratio" dataDxfId="72" dataCellStyle="Percent">
      <calculatedColumnFormula>AVERAGE(Table5[Cost-to-Income Ratio])</calculatedColumnFormula>
    </tableColumn>
    <tableColumn id="4" xr3:uid="{C36FB771-CA05-4D9A-9FBA-4512BF6A48AA}" name="ROA" dataDxfId="71" dataCellStyle="Percent">
      <calculatedColumnFormula>AVERAGE(Table5[ROA])</calculatedColumnFormula>
    </tableColumn>
    <tableColumn id="5" xr3:uid="{DEAD390A-0E59-4680-9595-16218C1894CF}" name="ROE" dataDxfId="70" dataCellStyle="Percent">
      <calculatedColumnFormula>AVERAGE(Table5[ROE])</calculatedColumnFormula>
    </tableColumn>
    <tableColumn id="6" xr3:uid="{E2490056-91C0-4A1E-9D52-9C085C6DB98F}" name="Cash-to-Assets Ratio" dataDxfId="69" dataCellStyle="Percent">
      <calculatedColumnFormula>AVERAGE(Table5[Cash-to-Assets Ratio])</calculatedColumnFormula>
    </tableColumn>
    <tableColumn id="7" xr3:uid="{73616641-B536-4CFD-9B84-97AA46436A0F}" name="Financing-to-Assets Ratio" dataDxfId="68" dataCellStyle="Percent">
      <calculatedColumnFormula>AVERAGE(Table5[Financing-to-Assets Ratio])</calculatedColumnFormula>
    </tableColumn>
    <tableColumn id="8" xr3:uid="{7C6F787B-CE1C-4957-86DF-C30B864B96EE}" name="Bank Size " dataCellStyle="Comma">
      <calculatedColumnFormula>AVERAGE(Table5[[Bank Size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C37312-2CBE-4356-8376-E850EF90F02A}" name="Table68" displayName="Table68" ref="A9:H14" totalsRowShown="0" headerRowDxfId="67" headerRowCellStyle="Percent">
  <autoFilter ref="A9:H14" xr:uid="{10C37312-2CBE-4356-8376-E850EF90F02A}"/>
  <tableColumns count="8">
    <tableColumn id="1" xr3:uid="{8C4B7D93-B0F1-4150-A4A0-50840F82CD0C}" name="Statistic"/>
    <tableColumn id="2" xr3:uid="{E8B29CAA-C1D6-4E7B-9C89-D8165A0BE344}" name="Operating Expense Ratio" dataDxfId="66" dataCellStyle="Percent">
      <calculatedColumnFormula>AVERAGE(Ratios!D10:D45)</calculatedColumnFormula>
    </tableColumn>
    <tableColumn id="3" xr3:uid="{FE64292E-DF81-4F07-B419-35B2611F2826}" name="Cost-to-Income Ratio" dataDxfId="65" dataCellStyle="Percent">
      <calculatedColumnFormula>AVERAGE(Table5[Cost-to-Income Ratio])</calculatedColumnFormula>
    </tableColumn>
    <tableColumn id="4" xr3:uid="{83DBE56D-E948-4627-B793-9602ECB976F3}" name="ROA" dataDxfId="64" dataCellStyle="Percent">
      <calculatedColumnFormula>AVERAGE(Table5[ROA])</calculatedColumnFormula>
    </tableColumn>
    <tableColumn id="5" xr3:uid="{17AEA80E-3166-4DBF-9803-A01B5FB38252}" name="ROE" dataDxfId="63" dataCellStyle="Percent">
      <calculatedColumnFormula>AVERAGE(Table5[ROE])</calculatedColumnFormula>
    </tableColumn>
    <tableColumn id="6" xr3:uid="{E63D497A-33B7-483C-8AF6-132D76450F16}" name="Cash-to-Assets Ratio" dataDxfId="62" dataCellStyle="Percent">
      <calculatedColumnFormula>AVERAGE(Table5[Cash-to-Assets Ratio])</calculatedColumnFormula>
    </tableColumn>
    <tableColumn id="7" xr3:uid="{6D0A299E-9D5F-43FC-9CE2-44455403920D}" name="Financing-to-Assets Ratio" dataDxfId="61" dataCellStyle="Percent">
      <calculatedColumnFormula>AVERAGE(Table5[Financing-to-Assets Ratio])</calculatedColumnFormula>
    </tableColumn>
    <tableColumn id="8" xr3:uid="{06B4B6CC-61CE-4D0B-9AAF-247AC39D0304}" name="Bank Size " dataCellStyle="Comma">
      <calculatedColumnFormula>AVERAGE(Table5[[Bank Size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87552E0-C428-42DA-9553-AC258D917A66}" name="Table689" displayName="Table689" ref="A17:H22" totalsRowShown="0" headerRowDxfId="60" headerRowCellStyle="Percent">
  <autoFilter ref="A17:H22" xr:uid="{087552E0-C428-42DA-9553-AC258D917A66}"/>
  <tableColumns count="8">
    <tableColumn id="1" xr3:uid="{7E6A5DE0-C37D-4F7B-AF53-C0C195E27954}" name="Statistic"/>
    <tableColumn id="2" xr3:uid="{817D5D3B-3D6A-4736-85E8-373F838AF494}" name="Operating Expense Ratio" dataDxfId="59" dataCellStyle="Percent">
      <calculatedColumnFormula>AVERAGE(Ratios!D18:D53)</calculatedColumnFormula>
    </tableColumn>
    <tableColumn id="3" xr3:uid="{F891B015-8B60-48E0-B0F5-A2962E587345}" name="Cost-to-Income Ratio" dataDxfId="58" dataCellStyle="Percent">
      <calculatedColumnFormula>AVERAGE(Table5[Cost-to-Income Ratio])</calculatedColumnFormula>
    </tableColumn>
    <tableColumn id="4" xr3:uid="{AD20F49D-7CFB-473B-87FB-1D4963C7988A}" name="ROA" dataDxfId="57" dataCellStyle="Percent">
      <calculatedColumnFormula>AVERAGE(Table5[ROA])</calculatedColumnFormula>
    </tableColumn>
    <tableColumn id="5" xr3:uid="{C7093CA9-D4E5-4F9D-AC78-B257DDE8DAF5}" name="ROE" dataDxfId="56" dataCellStyle="Percent">
      <calculatedColumnFormula>AVERAGE(Table5[ROE])</calculatedColumnFormula>
    </tableColumn>
    <tableColumn id="6" xr3:uid="{BB130504-508C-4921-AB05-F23C83117202}" name="Cash-to-Assets Ratio" dataDxfId="55" dataCellStyle="Percent">
      <calculatedColumnFormula>AVERAGE(Table5[Cash-to-Assets Ratio])</calculatedColumnFormula>
    </tableColumn>
    <tableColumn id="7" xr3:uid="{D6D67DB9-3C1B-4C9A-8CCB-8E7F01D5002A}" name="Financing-to-Assets Ratio" dataDxfId="54" dataCellStyle="Percent">
      <calculatedColumnFormula>AVERAGE(Table5[Financing-to-Assets Ratio])</calculatedColumnFormula>
    </tableColumn>
    <tableColumn id="8" xr3:uid="{F5B693E1-AA56-4DAF-994E-09DFBD122B97}" name="Bank Size " dataCellStyle="Comma">
      <calculatedColumnFormula>AVERAGE(Table5[[Bank Size ]])</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726B88-6176-42CA-A4BE-1FE2441E0470}" name="Table9" displayName="Table9" ref="A2:C8" totalsRowShown="0" headerRowDxfId="30" dataDxfId="29">
  <autoFilter ref="A2:C8" xr:uid="{EF726B88-6176-42CA-A4BE-1FE2441E0470}"/>
  <tableColumns count="3">
    <tableColumn id="1" xr3:uid="{146E7A3C-31E8-4132-8BE5-07645157B242}" name="Year" dataDxfId="28"/>
    <tableColumn id="2" xr3:uid="{9561C7FA-80E2-4E6E-AAE5-E472D6C3CB77}" name="Islamic Average" dataDxfId="27">
      <calculatedColumnFormula>AVERAGEIFS(Ratios!$D$2:$D$37,Ratios!$B$2:$B$37,"Islamic",Ratios!$C$2:$C$37,A3)</calculatedColumnFormula>
    </tableColumn>
    <tableColumn id="3" xr3:uid="{505865E2-32E8-450C-9E15-B88EEE6B764B}" name="Conventional Average" dataDxfId="26">
      <calculatedColumnFormula>AVERAGEIFS(Ratios!$D$2:$D$37,Ratios!$B$2:$B$37,"Conventional",Ratios!$C$2:$C$37,A3)</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B4ABF3-753A-4480-9EA8-EF373069DD37}" name="Table911" displayName="Table911" ref="E2:G8" totalsRowShown="0" headerRowDxfId="25" dataDxfId="24">
  <autoFilter ref="E2:G8" xr:uid="{11B4ABF3-753A-4480-9EA8-EF373069DD37}"/>
  <tableColumns count="3">
    <tableColumn id="1" xr3:uid="{529F605D-101C-4FD7-AD26-F0EF337E4030}" name="Year" dataDxfId="23"/>
    <tableColumn id="2" xr3:uid="{9320D48A-472F-490A-8903-F37175819055}" name="Islamic Average" dataDxfId="22">
      <calculatedColumnFormula>AVERAGEIFS(Ratios!$E$2:$E$37,Ratios!$B$2:$B$37,"Islamic",Ratios!$C$2:$C$37,E3)</calculatedColumnFormula>
    </tableColumn>
    <tableColumn id="3" xr3:uid="{F73076F2-F9BE-4E16-98B9-41DC33BFB170}" name="Conventional Average" dataDxfId="21">
      <calculatedColumnFormula>AVERAGEIFS(Ratios!$E$2:$E$37,Ratios!$B$2:$B$37,"Conventional",Ratios!$C$2:$C$37,E3)</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F200BBE-7656-4E45-AAF0-41B52486804A}" name="Table912" displayName="Table912" ref="A15:C21" totalsRowShown="0" dataDxfId="20">
  <autoFilter ref="A15:C21" xr:uid="{9F200BBE-7656-4E45-AAF0-41B52486804A}"/>
  <tableColumns count="3">
    <tableColumn id="1" xr3:uid="{57369B41-CACA-4AA7-A67B-4D31F38CC2DE}" name="Year" dataDxfId="19"/>
    <tableColumn id="2" xr3:uid="{160A0DF0-D43A-4BA2-BDDD-476012436F16}" name="Islamic Average" dataDxfId="18">
      <calculatedColumnFormula>AVERAGEIFS(Ratios!$H$2:$H$37,Ratios!$B$2:$B$37,"Islamic",Ratios!$C$2:$C$37,A16)</calculatedColumnFormula>
    </tableColumn>
    <tableColumn id="3" xr3:uid="{1252505C-28CE-4F7B-8561-EAEAF26E7CD7}" name="Conventional Average" dataDxfId="17">
      <calculatedColumnFormula>AVERAGEIFS(Ratios!$H$2:$H$37,Ratios!$B$2:$B$37,"Conventional",Ratios!$C$2:$C$37,A16)</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5B9080-4EDE-4431-ABFC-872B4D602579}" name="Table4" displayName="Table4" ref="A1:C9" totalsRowShown="0" headerRowDxfId="16" dataDxfId="14" headerRowBorderDxfId="15" tableBorderDxfId="13">
  <autoFilter ref="A1:C9" xr:uid="{975B9080-4EDE-4431-ABFC-872B4D602579}"/>
  <tableColumns count="3">
    <tableColumn id="1" xr3:uid="{C825308D-3DDD-4B4D-96D7-468A18F23C62}" name="Variable/Ratio " dataDxfId="12"/>
    <tableColumn id="2" xr3:uid="{79BF2C5D-0A96-442C-A0FC-DAD40C0EFFE0}" name="Formula Applied" dataDxfId="11"/>
    <tableColumn id="3" xr3:uid="{15A36F67-2A98-45A4-A329-2506DDBE42E1}" name="Where to Find" dataDxfId="1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AE73E4-D0E5-4F4C-9FC4-70D31EFDA320}" name="Table2" displayName="Table2" ref="A1:F9" totalsRowShown="0" headerRowDxfId="9" dataDxfId="8">
  <autoFilter ref="A1:F9" xr:uid="{28AE73E4-D0E5-4F4C-9FC4-70D31EFDA320}"/>
  <tableColumns count="6">
    <tableColumn id="1" xr3:uid="{B03E8CF3-9A07-4B8C-9AF0-BB0A77258F0A}" name="Paper (Author, Year)" dataDxfId="7"/>
    <tableColumn id="2" xr3:uid="{035EDDE4-01AC-478B-AEE1-0FC33B1A0DFC}" name="Objective" dataDxfId="6"/>
    <tableColumn id="3" xr3:uid="{D07DBC5C-2789-467C-96C2-2F1035D7DA56}" name="Method" dataDxfId="5"/>
    <tableColumn id="4" xr3:uid="{C4EEFFCD-95DB-4331-9F16-223A1C37DFDC}" name="Variables Used" dataDxfId="4"/>
    <tableColumn id="5" xr3:uid="{8162444D-66FC-412B-A102-3F9A55BB4D0A}" name="Key Finding" dataDxfId="3"/>
    <tableColumn id="6" xr3:uid="{C5243DFE-D4E4-4653-B700-F2C2596DAEBF}" name="Gap " dataDxfId="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968CC-C6E9-43B3-88F6-623FC7FFA8C6}" name="Table1" displayName="Table1" ref="A1:E122" totalsRowShown="0" headerRowDxfId="1">
  <autoFilter ref="A1:E122" xr:uid="{22E968CC-C6E9-43B3-88F6-623FC7FFA8C6}"/>
  <tableColumns count="5">
    <tableColumn id="1" xr3:uid="{2E8A885B-B40D-4C59-89F2-52B0F92E6AB1}" name="Bank &amp; Year" dataDxfId="0"/>
    <tableColumn id="2" xr3:uid="{BE00CEBF-5FF8-44E9-9BD7-4569190C7B74}" name="Item"/>
    <tableColumn id="3" xr3:uid="{89B5CCF8-CCB3-4C95-9C78-FC03D3EF6A5C}" name="Page"/>
    <tableColumn id="4" xr3:uid="{1D1F6CAB-08DD-4091-BA16-620F611AC27D}" name="Mentioned As"/>
    <tableColumn id="5" xr3:uid="{E7BC6CE9-D430-4836-B9F0-91D7105FDC33}" name="Stat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2.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6D1B-88D8-4591-ACB8-66EA5130D3D6}">
  <dimension ref="A1:N37"/>
  <sheetViews>
    <sheetView topLeftCell="A2" zoomScale="64" workbookViewId="0">
      <selection activeCell="K7" sqref="A2:N37"/>
    </sheetView>
  </sheetViews>
  <sheetFormatPr defaultRowHeight="14.5" x14ac:dyDescent="0.35"/>
  <cols>
    <col min="1" max="1" width="17" bestFit="1" customWidth="1"/>
    <col min="2" max="2" width="13.90625" customWidth="1"/>
    <col min="4" max="4" width="15.54296875" customWidth="1"/>
    <col min="5" max="5" width="15.26953125" customWidth="1"/>
    <col min="6" max="6" width="15.08984375" customWidth="1"/>
    <col min="7" max="7" width="12.453125" customWidth="1"/>
    <col min="8" max="8" width="17.81640625" customWidth="1"/>
    <col min="9" max="9" width="16.90625" customWidth="1"/>
    <col min="10" max="10" width="18.36328125" customWidth="1"/>
    <col min="11" max="11" width="14.1796875" customWidth="1"/>
    <col min="12" max="12" width="11.36328125" bestFit="1" customWidth="1"/>
    <col min="13" max="13" width="16.6328125" customWidth="1"/>
    <col min="14" max="14" width="14.54296875" bestFit="1" customWidth="1"/>
  </cols>
  <sheetData>
    <row r="1" spans="1:14" ht="15" thickBot="1" x14ac:dyDescent="0.4">
      <c r="A1" s="1" t="s">
        <v>0</v>
      </c>
      <c r="B1" s="2" t="s">
        <v>1</v>
      </c>
      <c r="C1" t="s">
        <v>2</v>
      </c>
      <c r="D1" t="s">
        <v>59</v>
      </c>
      <c r="E1" t="s">
        <v>60</v>
      </c>
      <c r="F1" t="s">
        <v>61</v>
      </c>
      <c r="G1" t="s">
        <v>3</v>
      </c>
      <c r="H1" s="1" t="s">
        <v>62</v>
      </c>
      <c r="I1" s="1" t="s">
        <v>63</v>
      </c>
      <c r="J1" s="1" t="s">
        <v>64</v>
      </c>
      <c r="K1" s="1" t="s">
        <v>65</v>
      </c>
      <c r="L1" s="1" t="s">
        <v>66</v>
      </c>
      <c r="M1" s="1" t="s">
        <v>58</v>
      </c>
      <c r="N1" s="1" t="s">
        <v>117</v>
      </c>
    </row>
    <row r="2" spans="1:14" x14ac:dyDescent="0.35">
      <c r="A2" t="s">
        <v>90</v>
      </c>
      <c r="B2" t="s">
        <v>91</v>
      </c>
      <c r="C2">
        <v>2019</v>
      </c>
      <c r="D2" s="8">
        <v>833208006</v>
      </c>
      <c r="E2" s="8">
        <v>679299486</v>
      </c>
      <c r="F2" s="8">
        <v>42255844</v>
      </c>
      <c r="G2" s="8">
        <v>63039290</v>
      </c>
      <c r="H2" s="8">
        <v>372913863</v>
      </c>
      <c r="I2" s="8">
        <v>29539997</v>
      </c>
      <c r="J2" s="8">
        <v>18235387</v>
      </c>
      <c r="K2" s="8">
        <v>8783319</v>
      </c>
      <c r="L2" s="8">
        <v>7017022</v>
      </c>
      <c r="M2" s="8">
        <v>1890390</v>
      </c>
      <c r="N2" s="8">
        <v>7848</v>
      </c>
    </row>
    <row r="3" spans="1:14" x14ac:dyDescent="0.35">
      <c r="A3" t="s">
        <v>90</v>
      </c>
      <c r="B3" t="s">
        <v>91</v>
      </c>
      <c r="C3">
        <v>2020</v>
      </c>
      <c r="D3" s="8">
        <v>992517062</v>
      </c>
      <c r="E3" s="8">
        <v>791186883</v>
      </c>
      <c r="F3" s="8">
        <v>54546350</v>
      </c>
      <c r="G3" s="8">
        <v>73651718</v>
      </c>
      <c r="H3" s="8">
        <v>395373840</v>
      </c>
      <c r="I3" s="8">
        <v>39956618</v>
      </c>
      <c r="J3" s="8">
        <v>20123495</v>
      </c>
      <c r="K3" s="8">
        <v>11551156</v>
      </c>
      <c r="L3" s="8">
        <v>10800375</v>
      </c>
      <c r="M3" s="8">
        <v>3780781</v>
      </c>
      <c r="N3" s="8">
        <v>7949</v>
      </c>
    </row>
    <row r="4" spans="1:14" x14ac:dyDescent="0.35">
      <c r="A4" t="s">
        <v>90</v>
      </c>
      <c r="B4" t="s">
        <v>91</v>
      </c>
      <c r="C4">
        <v>2021</v>
      </c>
      <c r="D4" s="8">
        <v>1259144109</v>
      </c>
      <c r="E4" s="8">
        <v>1015430068</v>
      </c>
      <c r="F4" s="8">
        <v>55902493</v>
      </c>
      <c r="G4" s="8">
        <v>89432245</v>
      </c>
      <c r="H4" s="8">
        <v>477588237</v>
      </c>
      <c r="I4" s="8">
        <v>41779371</v>
      </c>
      <c r="J4" s="8">
        <v>20890525</v>
      </c>
      <c r="K4" s="8">
        <v>11720691</v>
      </c>
      <c r="L4" s="8">
        <v>9701386</v>
      </c>
      <c r="M4">
        <v>0</v>
      </c>
      <c r="N4" s="8">
        <v>7478</v>
      </c>
    </row>
    <row r="5" spans="1:14" x14ac:dyDescent="0.35">
      <c r="A5" t="s">
        <v>90</v>
      </c>
      <c r="B5" t="s">
        <v>91</v>
      </c>
      <c r="C5">
        <v>2022</v>
      </c>
      <c r="D5" s="8">
        <v>1526133734</v>
      </c>
      <c r="E5" s="8">
        <v>1142574606</v>
      </c>
      <c r="F5" s="8">
        <v>73322253</v>
      </c>
      <c r="G5" s="8">
        <v>70950067</v>
      </c>
      <c r="H5" s="8">
        <v>583810931</v>
      </c>
      <c r="I5" s="8">
        <v>51581558</v>
      </c>
      <c r="J5" s="8">
        <v>22572388</v>
      </c>
      <c r="K5" s="8">
        <v>11474947</v>
      </c>
      <c r="L5" s="8">
        <v>14061595</v>
      </c>
      <c r="M5" s="8">
        <v>1890390</v>
      </c>
      <c r="N5" s="8">
        <v>7348</v>
      </c>
    </row>
    <row r="6" spans="1:14" x14ac:dyDescent="0.35">
      <c r="A6" t="s">
        <v>90</v>
      </c>
      <c r="B6" t="s">
        <v>91</v>
      </c>
      <c r="C6">
        <v>2023</v>
      </c>
      <c r="D6" s="8">
        <v>2124005959</v>
      </c>
      <c r="E6" s="8">
        <v>1293145575</v>
      </c>
      <c r="F6" s="8">
        <v>97122821</v>
      </c>
      <c r="G6" s="8">
        <v>160087394</v>
      </c>
      <c r="H6" s="8">
        <v>633132827</v>
      </c>
      <c r="I6" s="8">
        <v>72358907</v>
      </c>
      <c r="J6" s="8">
        <v>28569430</v>
      </c>
      <c r="K6" s="8">
        <v>14417616</v>
      </c>
      <c r="L6" s="8">
        <v>21434659</v>
      </c>
      <c r="M6" s="8">
        <v>3623248</v>
      </c>
      <c r="N6" s="8">
        <v>7881</v>
      </c>
    </row>
    <row r="7" spans="1:14" x14ac:dyDescent="0.35">
      <c r="A7" t="s">
        <v>90</v>
      </c>
      <c r="B7" t="s">
        <v>91</v>
      </c>
      <c r="C7">
        <v>2024</v>
      </c>
      <c r="D7" s="8">
        <v>2498374205</v>
      </c>
      <c r="E7" s="8">
        <v>1363735115</v>
      </c>
      <c r="F7" s="8">
        <v>121628559</v>
      </c>
      <c r="G7" s="8">
        <v>133505285</v>
      </c>
      <c r="H7" s="8">
        <v>695758143</v>
      </c>
      <c r="I7" s="8">
        <v>78720528</v>
      </c>
      <c r="J7" s="8">
        <v>35408493</v>
      </c>
      <c r="K7" s="8">
        <v>17090815</v>
      </c>
      <c r="L7" s="8">
        <v>21022671</v>
      </c>
      <c r="M7" s="8">
        <v>4347898</v>
      </c>
      <c r="N7" s="8">
        <v>8269</v>
      </c>
    </row>
    <row r="8" spans="1:14" x14ac:dyDescent="0.35">
      <c r="A8" t="s">
        <v>120</v>
      </c>
      <c r="B8" t="s">
        <v>91</v>
      </c>
      <c r="C8">
        <v>2019</v>
      </c>
      <c r="D8" s="8">
        <v>3053733753</v>
      </c>
      <c r="E8" s="8">
        <v>2301899086</v>
      </c>
      <c r="F8" s="8">
        <v>201421946</v>
      </c>
      <c r="G8" s="8">
        <v>337241623</v>
      </c>
      <c r="H8" s="8">
        <v>1073018669</v>
      </c>
      <c r="I8" s="8">
        <v>113384890</v>
      </c>
      <c r="J8" s="8">
        <v>82709202</v>
      </c>
      <c r="K8" s="8">
        <v>29757054</v>
      </c>
      <c r="L8" s="8">
        <v>15064189</v>
      </c>
      <c r="M8" s="8">
        <v>7336000</v>
      </c>
      <c r="N8" s="8">
        <v>17353</v>
      </c>
    </row>
    <row r="9" spans="1:14" x14ac:dyDescent="0.35">
      <c r="A9" t="s">
        <v>120</v>
      </c>
      <c r="B9" t="s">
        <v>91</v>
      </c>
      <c r="C9">
        <v>2020</v>
      </c>
      <c r="D9" s="8">
        <v>3643711720</v>
      </c>
      <c r="E9" s="8">
        <v>2669490716</v>
      </c>
      <c r="F9" s="8">
        <v>242724765</v>
      </c>
      <c r="G9" s="8">
        <v>347988749</v>
      </c>
      <c r="H9" s="8">
        <v>1117320960</v>
      </c>
      <c r="I9" s="8">
        <v>147794767</v>
      </c>
      <c r="J9" s="8">
        <v>83151607</v>
      </c>
      <c r="K9" s="8">
        <v>33639523</v>
      </c>
      <c r="L9" s="8">
        <v>31523682</v>
      </c>
      <c r="M9" s="8">
        <v>3668000</v>
      </c>
      <c r="N9" s="8">
        <v>16954</v>
      </c>
    </row>
    <row r="10" spans="1:14" x14ac:dyDescent="0.35">
      <c r="A10" t="s">
        <v>120</v>
      </c>
      <c r="B10" t="s">
        <v>91</v>
      </c>
      <c r="C10">
        <v>2021</v>
      </c>
      <c r="D10" s="8">
        <v>4074588206</v>
      </c>
      <c r="E10" s="8">
        <v>3184260887</v>
      </c>
      <c r="F10" s="8">
        <v>257928910</v>
      </c>
      <c r="G10" s="8">
        <v>409528880</v>
      </c>
      <c r="H10" s="8">
        <v>1384549476</v>
      </c>
      <c r="I10" s="8">
        <v>151671703</v>
      </c>
      <c r="J10" s="8">
        <v>84607713</v>
      </c>
      <c r="K10" s="8">
        <v>33697001</v>
      </c>
      <c r="L10" s="8">
        <v>34271494</v>
      </c>
      <c r="M10" s="8">
        <v>12102000</v>
      </c>
      <c r="N10" s="8">
        <v>17591</v>
      </c>
    </row>
    <row r="11" spans="1:14" x14ac:dyDescent="0.35">
      <c r="A11" t="s">
        <v>120</v>
      </c>
      <c r="B11" t="s">
        <v>91</v>
      </c>
      <c r="C11">
        <v>2022</v>
      </c>
      <c r="D11" s="8">
        <v>4355096917</v>
      </c>
      <c r="E11" s="8">
        <v>3234176418</v>
      </c>
      <c r="F11" s="8">
        <v>253775516</v>
      </c>
      <c r="G11" s="8">
        <v>257368084</v>
      </c>
      <c r="H11" s="8">
        <v>1622607447</v>
      </c>
      <c r="I11" s="8">
        <v>190393360</v>
      </c>
      <c r="J11" s="8">
        <v>110475260</v>
      </c>
      <c r="K11" s="8">
        <v>41532374</v>
      </c>
      <c r="L11" s="8">
        <v>30867003</v>
      </c>
      <c r="M11" s="8">
        <v>11000000</v>
      </c>
      <c r="N11" s="8">
        <v>17602</v>
      </c>
    </row>
    <row r="12" spans="1:14" x14ac:dyDescent="0.35">
      <c r="A12" t="s">
        <v>120</v>
      </c>
      <c r="B12" t="s">
        <v>91</v>
      </c>
      <c r="C12">
        <v>2023</v>
      </c>
      <c r="D12" s="8">
        <v>5201671163</v>
      </c>
      <c r="E12" s="8">
        <v>3870179912</v>
      </c>
      <c r="F12" s="8">
        <v>333779408</v>
      </c>
      <c r="G12" s="8">
        <v>505181227</v>
      </c>
      <c r="H12" s="8">
        <v>1664016203</v>
      </c>
      <c r="I12" s="8">
        <v>277297213</v>
      </c>
      <c r="J12" s="8">
        <v>152339336</v>
      </c>
      <c r="K12" s="8">
        <v>50737676</v>
      </c>
      <c r="L12" s="8">
        <v>56855995</v>
      </c>
      <c r="M12" s="8">
        <v>10634000</v>
      </c>
      <c r="N12" s="8">
        <v>16353</v>
      </c>
    </row>
    <row r="13" spans="1:14" x14ac:dyDescent="0.35">
      <c r="A13" t="s">
        <v>120</v>
      </c>
      <c r="B13" t="s">
        <v>91</v>
      </c>
      <c r="C13">
        <v>2024</v>
      </c>
      <c r="D13" s="8">
        <v>5659803830</v>
      </c>
      <c r="E13" s="8">
        <v>4091168379</v>
      </c>
      <c r="F13" s="8">
        <v>377785296</v>
      </c>
      <c r="G13" s="8">
        <v>421135641</v>
      </c>
      <c r="H13" s="8">
        <v>2254964431</v>
      </c>
      <c r="I13" s="8">
        <v>313235711</v>
      </c>
      <c r="J13" s="8">
        <v>170661897</v>
      </c>
      <c r="K13" s="8">
        <v>56506395</v>
      </c>
      <c r="L13" s="8">
        <v>56765819</v>
      </c>
      <c r="M13" s="8">
        <v>23469000</v>
      </c>
      <c r="N13" s="8">
        <v>16533</v>
      </c>
    </row>
    <row r="14" spans="1:14" x14ac:dyDescent="0.35">
      <c r="A14" t="s">
        <v>128</v>
      </c>
      <c r="B14" t="s">
        <v>91</v>
      </c>
      <c r="C14">
        <v>2019</v>
      </c>
      <c r="D14" s="8">
        <v>470426965</v>
      </c>
      <c r="E14" s="8">
        <v>369789964</v>
      </c>
      <c r="F14" s="8">
        <v>17333255</v>
      </c>
      <c r="G14" s="8">
        <v>25589349</v>
      </c>
      <c r="H14" s="8">
        <v>242944509</v>
      </c>
      <c r="I14" s="8">
        <v>10971561</v>
      </c>
      <c r="J14" s="8">
        <v>10791708</v>
      </c>
      <c r="K14" s="8">
        <v>5237267</v>
      </c>
      <c r="L14" s="8">
        <v>24653</v>
      </c>
      <c r="M14">
        <v>0</v>
      </c>
      <c r="N14" s="8">
        <v>4904</v>
      </c>
    </row>
    <row r="15" spans="1:14" x14ac:dyDescent="0.35">
      <c r="A15" t="s">
        <v>128</v>
      </c>
      <c r="B15" t="s">
        <v>91</v>
      </c>
      <c r="C15">
        <v>2020</v>
      </c>
      <c r="D15" s="8">
        <v>532168402</v>
      </c>
      <c r="E15" s="8">
        <v>433062593</v>
      </c>
      <c r="F15" s="8">
        <v>20592208</v>
      </c>
      <c r="G15" s="8">
        <v>30421231</v>
      </c>
      <c r="H15" s="8">
        <v>250199166</v>
      </c>
      <c r="I15" s="8">
        <v>16453648</v>
      </c>
      <c r="J15" s="8">
        <v>13019000</v>
      </c>
      <c r="K15" s="8">
        <v>6262594</v>
      </c>
      <c r="L15" s="8">
        <v>1150060</v>
      </c>
      <c r="M15">
        <v>0</v>
      </c>
      <c r="N15" s="8">
        <v>5311</v>
      </c>
    </row>
    <row r="16" spans="1:14" x14ac:dyDescent="0.35">
      <c r="A16" t="s">
        <v>128</v>
      </c>
      <c r="B16" t="s">
        <v>91</v>
      </c>
      <c r="C16">
        <v>2021</v>
      </c>
      <c r="D16" s="8">
        <v>584288854</v>
      </c>
      <c r="E16" s="8">
        <v>460705014</v>
      </c>
      <c r="F16" s="8">
        <v>22024083</v>
      </c>
      <c r="G16" s="8">
        <v>34266856</v>
      </c>
      <c r="H16" s="8">
        <v>254183938</v>
      </c>
      <c r="I16" s="8">
        <v>16971424</v>
      </c>
      <c r="J16" s="8">
        <v>12722702</v>
      </c>
      <c r="K16" s="8">
        <v>5520185</v>
      </c>
      <c r="L16" s="8">
        <v>1304392</v>
      </c>
      <c r="M16">
        <v>0</v>
      </c>
      <c r="N16" s="8">
        <v>4487</v>
      </c>
    </row>
    <row r="17" spans="1:14" x14ac:dyDescent="0.35">
      <c r="A17" t="s">
        <v>128</v>
      </c>
      <c r="B17" t="s">
        <v>91</v>
      </c>
      <c r="C17">
        <v>2022</v>
      </c>
      <c r="D17" s="8">
        <v>616715493</v>
      </c>
      <c r="E17" s="8">
        <v>464131920</v>
      </c>
      <c r="F17" s="8">
        <v>21546619</v>
      </c>
      <c r="G17" s="8">
        <v>24764967</v>
      </c>
      <c r="H17" s="8">
        <v>231101816</v>
      </c>
      <c r="I17" s="8">
        <v>20156034</v>
      </c>
      <c r="J17" s="8">
        <v>16748968</v>
      </c>
      <c r="K17" s="8">
        <v>6863342</v>
      </c>
      <c r="L17" s="8">
        <v>964778</v>
      </c>
      <c r="M17">
        <v>0</v>
      </c>
      <c r="N17" s="8">
        <v>4739</v>
      </c>
    </row>
    <row r="18" spans="1:14" x14ac:dyDescent="0.35">
      <c r="A18" t="s">
        <v>128</v>
      </c>
      <c r="B18" t="s">
        <v>91</v>
      </c>
      <c r="C18">
        <v>2023</v>
      </c>
      <c r="D18" s="8">
        <v>589432458</v>
      </c>
      <c r="E18" s="8">
        <v>486282778</v>
      </c>
      <c r="F18" s="8">
        <v>40322068</v>
      </c>
      <c r="G18" s="8">
        <v>40895031</v>
      </c>
      <c r="H18" s="8">
        <v>203726900</v>
      </c>
      <c r="I18" s="8">
        <v>34613610</v>
      </c>
      <c r="J18" s="8">
        <v>23041555</v>
      </c>
      <c r="K18" s="8">
        <v>8150566</v>
      </c>
      <c r="L18" s="8">
        <v>4334918</v>
      </c>
      <c r="M18">
        <v>0</v>
      </c>
      <c r="N18" s="8">
        <v>4940</v>
      </c>
    </row>
    <row r="19" spans="1:14" x14ac:dyDescent="0.35">
      <c r="A19" t="s">
        <v>128</v>
      </c>
      <c r="B19" t="s">
        <v>91</v>
      </c>
      <c r="C19">
        <v>2024</v>
      </c>
      <c r="D19" s="8">
        <v>636107268</v>
      </c>
      <c r="E19" s="8">
        <v>525134376</v>
      </c>
      <c r="F19" s="8">
        <v>43706634</v>
      </c>
      <c r="G19" s="8">
        <v>43058132</v>
      </c>
      <c r="H19" s="8">
        <v>225518627</v>
      </c>
      <c r="I19" s="8">
        <v>38652972</v>
      </c>
      <c r="J19" s="8">
        <v>27346237</v>
      </c>
      <c r="K19" s="8">
        <v>10006538</v>
      </c>
      <c r="L19" s="8">
        <v>2848466</v>
      </c>
      <c r="M19">
        <v>0</v>
      </c>
      <c r="N19" s="8">
        <v>5142</v>
      </c>
    </row>
    <row r="20" spans="1:14" x14ac:dyDescent="0.35">
      <c r="A20" t="s">
        <v>141</v>
      </c>
      <c r="B20" t="s">
        <v>142</v>
      </c>
      <c r="C20">
        <v>2019</v>
      </c>
      <c r="D20" s="8">
        <v>1121258254</v>
      </c>
      <c r="E20" s="8">
        <v>932579114</v>
      </c>
      <c r="F20" s="8">
        <v>59015412</v>
      </c>
      <c r="G20" s="8">
        <v>92193361</v>
      </c>
      <c r="H20" s="8">
        <v>493775346</v>
      </c>
      <c r="I20" s="8">
        <v>55859567</v>
      </c>
      <c r="J20" s="8">
        <v>24830659</v>
      </c>
      <c r="K20" s="8">
        <v>12739695</v>
      </c>
      <c r="L20" s="8">
        <v>15232074</v>
      </c>
      <c r="M20" s="8">
        <v>6079801</v>
      </c>
      <c r="N20" s="8">
        <v>11649</v>
      </c>
    </row>
    <row r="21" spans="1:14" x14ac:dyDescent="0.35">
      <c r="A21" t="s">
        <v>141</v>
      </c>
      <c r="B21" t="s">
        <v>142</v>
      </c>
      <c r="C21">
        <v>2020</v>
      </c>
      <c r="D21" s="8">
        <v>1521559463</v>
      </c>
      <c r="E21" s="8">
        <v>1254430534</v>
      </c>
      <c r="F21" s="8">
        <v>69155266</v>
      </c>
      <c r="G21" s="8">
        <v>136242495</v>
      </c>
      <c r="H21" s="8">
        <v>512531930</v>
      </c>
      <c r="I21" s="8">
        <v>74920780</v>
      </c>
      <c r="J21" s="8">
        <v>28808560</v>
      </c>
      <c r="K21" s="8">
        <v>15272678</v>
      </c>
      <c r="L21" s="8">
        <v>22165606</v>
      </c>
      <c r="M21" s="8">
        <v>8231115</v>
      </c>
      <c r="N21" s="8">
        <v>12423</v>
      </c>
    </row>
    <row r="22" spans="1:14" x14ac:dyDescent="0.35">
      <c r="A22" t="s">
        <v>141</v>
      </c>
      <c r="B22" t="s">
        <v>142</v>
      </c>
      <c r="C22">
        <v>2021</v>
      </c>
      <c r="D22" s="8">
        <v>1902971400</v>
      </c>
      <c r="E22" s="8">
        <v>1455886468</v>
      </c>
      <c r="F22" s="8">
        <v>86557775</v>
      </c>
      <c r="G22" s="8">
        <v>170500698</v>
      </c>
      <c r="H22" s="8">
        <v>758086120</v>
      </c>
      <c r="I22" s="8">
        <v>83812909</v>
      </c>
      <c r="J22" s="8">
        <v>34356293</v>
      </c>
      <c r="K22" s="8">
        <v>19625308</v>
      </c>
      <c r="L22" s="8">
        <v>28355157</v>
      </c>
      <c r="M22" s="8">
        <v>9514013</v>
      </c>
      <c r="N22" s="8">
        <v>14007</v>
      </c>
    </row>
    <row r="23" spans="1:14" x14ac:dyDescent="0.35">
      <c r="A23" t="s">
        <v>141</v>
      </c>
      <c r="B23" t="s">
        <v>142</v>
      </c>
      <c r="C23">
        <v>2022</v>
      </c>
      <c r="D23" s="8">
        <v>2577397511</v>
      </c>
      <c r="E23" s="8">
        <v>1658490118</v>
      </c>
      <c r="F23" s="8">
        <v>115320693</v>
      </c>
      <c r="G23" s="8">
        <v>117743106</v>
      </c>
      <c r="H23" s="8">
        <v>995508354</v>
      </c>
      <c r="I23" s="8">
        <v>140806814</v>
      </c>
      <c r="J23" s="8">
        <v>46239831</v>
      </c>
      <c r="K23" s="8">
        <v>26327851</v>
      </c>
      <c r="L23" s="8">
        <v>45006610</v>
      </c>
      <c r="M23" s="8">
        <v>11713905</v>
      </c>
      <c r="N23" s="8">
        <v>15380</v>
      </c>
    </row>
    <row r="24" spans="1:14" x14ac:dyDescent="0.35">
      <c r="A24" t="s">
        <v>141</v>
      </c>
      <c r="B24" t="s">
        <v>142</v>
      </c>
      <c r="C24">
        <v>2023</v>
      </c>
      <c r="D24" s="8">
        <v>3012108757</v>
      </c>
      <c r="E24" s="8">
        <v>2217473924</v>
      </c>
      <c r="F24" s="8">
        <v>184907517</v>
      </c>
      <c r="G24" s="8">
        <v>242611556</v>
      </c>
      <c r="H24" s="8">
        <v>961673012</v>
      </c>
      <c r="I24" s="8">
        <v>248535983</v>
      </c>
      <c r="J24" s="8">
        <v>67876595</v>
      </c>
      <c r="K24" s="8">
        <v>39947908</v>
      </c>
      <c r="L24" s="8">
        <v>84475642</v>
      </c>
      <c r="M24" s="8">
        <v>26859025</v>
      </c>
      <c r="N24" s="8">
        <v>17186</v>
      </c>
    </row>
    <row r="25" spans="1:14" x14ac:dyDescent="0.35">
      <c r="A25" t="s">
        <v>141</v>
      </c>
      <c r="B25" t="s">
        <v>142</v>
      </c>
      <c r="C25">
        <v>2024</v>
      </c>
      <c r="D25" s="8">
        <v>3900411330</v>
      </c>
      <c r="E25" s="8">
        <v>2584871300</v>
      </c>
      <c r="F25" s="8">
        <v>246984292</v>
      </c>
      <c r="G25" s="8">
        <v>260734258</v>
      </c>
      <c r="H25" s="8">
        <v>1514755936</v>
      </c>
      <c r="I25" s="8">
        <v>315917305</v>
      </c>
      <c r="J25" s="8">
        <v>79509599</v>
      </c>
      <c r="K25" s="8">
        <v>43732513</v>
      </c>
      <c r="L25" s="8">
        <v>101507524</v>
      </c>
      <c r="M25" s="8">
        <v>51995169</v>
      </c>
      <c r="N25" s="8">
        <v>18653</v>
      </c>
    </row>
    <row r="26" spans="1:14" x14ac:dyDescent="0.35">
      <c r="A26" t="s">
        <v>171</v>
      </c>
      <c r="B26" t="s">
        <v>142</v>
      </c>
      <c r="C26">
        <v>2019</v>
      </c>
      <c r="D26" s="8">
        <v>264638618</v>
      </c>
      <c r="E26" s="8">
        <v>209952073</v>
      </c>
      <c r="F26" s="8">
        <v>22162634</v>
      </c>
      <c r="G26" s="8">
        <v>19417428</v>
      </c>
      <c r="H26" s="8">
        <v>177921837</v>
      </c>
      <c r="I26" s="8">
        <v>13283535</v>
      </c>
      <c r="J26" s="8">
        <v>6658707</v>
      </c>
      <c r="K26" s="8"/>
      <c r="L26" s="8">
        <v>3345597</v>
      </c>
      <c r="M26" s="8"/>
      <c r="N26" s="8">
        <v>3095</v>
      </c>
    </row>
    <row r="27" spans="1:14" x14ac:dyDescent="0.35">
      <c r="A27" t="s">
        <v>171</v>
      </c>
      <c r="B27" t="s">
        <v>142</v>
      </c>
      <c r="C27">
        <v>2020</v>
      </c>
      <c r="D27" s="8">
        <v>303262163</v>
      </c>
      <c r="E27" s="8">
        <v>237553365</v>
      </c>
      <c r="F27" s="8">
        <v>24623698</v>
      </c>
      <c r="G27" s="8">
        <v>19096891</v>
      </c>
      <c r="H27" s="8">
        <v>199416405</v>
      </c>
      <c r="I27" s="8">
        <v>14390574</v>
      </c>
      <c r="J27" s="8">
        <v>7369672</v>
      </c>
      <c r="K27" s="8"/>
      <c r="L27" s="8">
        <v>2893891</v>
      </c>
      <c r="M27" s="8"/>
      <c r="N27" s="8">
        <v>3099</v>
      </c>
    </row>
    <row r="28" spans="1:14" x14ac:dyDescent="0.35">
      <c r="A28" t="s">
        <v>171</v>
      </c>
      <c r="B28" t="s">
        <v>142</v>
      </c>
      <c r="C28">
        <v>2021</v>
      </c>
      <c r="D28" s="8">
        <v>351474159</v>
      </c>
      <c r="E28" s="8">
        <v>261573620</v>
      </c>
      <c r="F28" s="8">
        <v>27567059</v>
      </c>
      <c r="G28" s="8">
        <v>25761239</v>
      </c>
      <c r="H28" s="8">
        <v>225364893</v>
      </c>
      <c r="I28" s="8">
        <v>15553444</v>
      </c>
      <c r="J28" s="8">
        <v>8285564</v>
      </c>
      <c r="K28" s="8"/>
      <c r="L28" s="8">
        <v>3089310</v>
      </c>
      <c r="M28" s="8"/>
      <c r="N28" s="8">
        <v>3223</v>
      </c>
    </row>
    <row r="29" spans="1:14" x14ac:dyDescent="0.35">
      <c r="A29" t="s">
        <v>171</v>
      </c>
      <c r="B29" t="s">
        <v>142</v>
      </c>
      <c r="C29">
        <v>2022</v>
      </c>
      <c r="D29" s="8">
        <v>445390462</v>
      </c>
      <c r="E29" s="8">
        <v>345811211</v>
      </c>
      <c r="F29" s="8">
        <v>30106817</v>
      </c>
      <c r="G29" s="8">
        <v>45632108</v>
      </c>
      <c r="H29" s="8">
        <v>247767953</v>
      </c>
      <c r="I29" s="8">
        <v>22949607</v>
      </c>
      <c r="J29" s="8">
        <v>10132049</v>
      </c>
      <c r="K29" s="8"/>
      <c r="L29" s="8">
        <v>3915574</v>
      </c>
      <c r="M29" s="8"/>
      <c r="N29" s="8">
        <v>3468</v>
      </c>
    </row>
    <row r="30" spans="1:14" x14ac:dyDescent="0.35">
      <c r="A30" t="s">
        <v>171</v>
      </c>
      <c r="B30" t="s">
        <v>142</v>
      </c>
      <c r="C30">
        <v>2023</v>
      </c>
      <c r="D30" s="8">
        <v>430992381</v>
      </c>
      <c r="E30" s="8">
        <v>324876776</v>
      </c>
      <c r="F30" s="8">
        <v>37164885</v>
      </c>
      <c r="G30" s="8">
        <v>28901856</v>
      </c>
      <c r="H30" s="8">
        <v>243067943</v>
      </c>
      <c r="I30" s="8">
        <v>34231411</v>
      </c>
      <c r="J30" s="8">
        <v>12405406</v>
      </c>
      <c r="K30" s="8"/>
      <c r="L30" s="8">
        <v>6719179</v>
      </c>
      <c r="M30" s="8"/>
      <c r="N30" s="8">
        <v>3434</v>
      </c>
    </row>
    <row r="31" spans="1:14" x14ac:dyDescent="0.35">
      <c r="A31" t="s">
        <v>171</v>
      </c>
      <c r="B31" t="s">
        <v>142</v>
      </c>
      <c r="C31">
        <v>2024</v>
      </c>
      <c r="D31" s="8">
        <v>452889701</v>
      </c>
      <c r="E31" s="8">
        <v>346872762</v>
      </c>
      <c r="F31" s="8">
        <v>44946559</v>
      </c>
      <c r="G31" s="8">
        <v>30433179</v>
      </c>
      <c r="H31" s="8">
        <v>203608460</v>
      </c>
      <c r="I31" s="8">
        <v>34204924</v>
      </c>
      <c r="J31" s="8">
        <v>15839586</v>
      </c>
      <c r="K31" s="8"/>
      <c r="L31" s="8">
        <v>6671595</v>
      </c>
      <c r="M31" s="8"/>
      <c r="N31" s="8">
        <v>3774</v>
      </c>
    </row>
    <row r="32" spans="1:14" x14ac:dyDescent="0.35">
      <c r="A32" t="s">
        <v>143</v>
      </c>
      <c r="B32" t="s">
        <v>142</v>
      </c>
      <c r="C32">
        <v>2019</v>
      </c>
      <c r="D32" s="8">
        <v>283096494</v>
      </c>
      <c r="E32" s="8">
        <v>228826675</v>
      </c>
      <c r="F32" s="8">
        <v>19696332</v>
      </c>
      <c r="G32" s="8">
        <v>14640163</v>
      </c>
      <c r="H32" s="8">
        <v>131774504</v>
      </c>
      <c r="I32" s="8">
        <v>12423575</v>
      </c>
      <c r="J32" s="8">
        <v>7721165</v>
      </c>
      <c r="K32" s="8">
        <v>3090808</v>
      </c>
      <c r="L32" s="8">
        <v>1087338</v>
      </c>
      <c r="M32">
        <v>0</v>
      </c>
      <c r="N32" s="8">
        <v>3447</v>
      </c>
    </row>
    <row r="33" spans="1:14" x14ac:dyDescent="0.35">
      <c r="A33" t="s">
        <v>143</v>
      </c>
      <c r="B33" t="s">
        <v>142</v>
      </c>
      <c r="C33">
        <v>2020</v>
      </c>
      <c r="D33" s="8">
        <v>336297298</v>
      </c>
      <c r="E33" s="8">
        <v>282015950</v>
      </c>
      <c r="F33" s="8">
        <v>19895173</v>
      </c>
      <c r="G33" s="8">
        <v>22034025</v>
      </c>
      <c r="H33" s="8">
        <v>130161889</v>
      </c>
      <c r="I33" s="8">
        <v>14124337</v>
      </c>
      <c r="J33" s="8">
        <v>8578042</v>
      </c>
      <c r="K33" s="8">
        <v>3619430</v>
      </c>
      <c r="L33" s="8">
        <v>1703135</v>
      </c>
      <c r="M33">
        <v>0</v>
      </c>
      <c r="N33" s="8">
        <v>3437</v>
      </c>
    </row>
    <row r="34" spans="1:14" x14ac:dyDescent="0.35">
      <c r="A34" t="s">
        <v>143</v>
      </c>
      <c r="B34" t="s">
        <v>142</v>
      </c>
      <c r="C34">
        <v>2021</v>
      </c>
      <c r="D34" s="8">
        <v>408390174</v>
      </c>
      <c r="E34" s="8">
        <v>344787956</v>
      </c>
      <c r="F34" s="8">
        <v>22511202</v>
      </c>
      <c r="G34" s="8">
        <v>24552347</v>
      </c>
      <c r="H34" s="8">
        <v>181176239</v>
      </c>
      <c r="I34" s="8">
        <v>13051626</v>
      </c>
      <c r="J34" s="8">
        <v>9549614</v>
      </c>
      <c r="K34" s="8">
        <v>4398458</v>
      </c>
      <c r="L34" s="8">
        <v>2131350</v>
      </c>
      <c r="M34">
        <v>0</v>
      </c>
      <c r="N34" s="8">
        <v>4046</v>
      </c>
    </row>
    <row r="35" spans="1:14" x14ac:dyDescent="0.35">
      <c r="A35" t="s">
        <v>143</v>
      </c>
      <c r="B35" t="s">
        <v>142</v>
      </c>
      <c r="C35">
        <v>2022</v>
      </c>
      <c r="D35" s="8">
        <v>487239112</v>
      </c>
      <c r="E35" s="8">
        <v>415911942</v>
      </c>
      <c r="F35" s="8">
        <v>26450401</v>
      </c>
      <c r="G35" s="8">
        <v>39972702</v>
      </c>
      <c r="H35" s="8">
        <v>201328442</v>
      </c>
      <c r="I35" s="8">
        <v>24001221</v>
      </c>
      <c r="J35" s="8">
        <v>11773169</v>
      </c>
      <c r="K35" s="8">
        <v>5363050</v>
      </c>
      <c r="L35" s="8">
        <v>4439635</v>
      </c>
      <c r="M35" s="8">
        <v>1109000</v>
      </c>
      <c r="N35" s="8">
        <v>4562</v>
      </c>
    </row>
    <row r="36" spans="1:14" x14ac:dyDescent="0.35">
      <c r="A36" t="s">
        <v>143</v>
      </c>
      <c r="B36" t="s">
        <v>142</v>
      </c>
      <c r="C36">
        <v>2023</v>
      </c>
      <c r="D36" s="8">
        <v>654865896</v>
      </c>
      <c r="E36" s="8">
        <v>522540925</v>
      </c>
      <c r="F36" s="8">
        <v>36465918</v>
      </c>
      <c r="G36" s="8">
        <v>41287071</v>
      </c>
      <c r="H36" s="8">
        <v>230194288</v>
      </c>
      <c r="I36" s="8">
        <v>43494329</v>
      </c>
      <c r="J36" s="8">
        <v>16159656</v>
      </c>
      <c r="K36" s="8">
        <v>7493260</v>
      </c>
      <c r="L36" s="8">
        <v>11045099</v>
      </c>
      <c r="M36" s="8">
        <v>3049000</v>
      </c>
      <c r="N36" s="8">
        <v>5891</v>
      </c>
    </row>
    <row r="37" spans="1:14" x14ac:dyDescent="0.35">
      <c r="A37" t="s">
        <v>143</v>
      </c>
      <c r="B37" t="s">
        <v>142</v>
      </c>
      <c r="C37">
        <v>2024</v>
      </c>
      <c r="D37" s="8">
        <v>737834025</v>
      </c>
      <c r="E37" s="8">
        <v>559177932</v>
      </c>
      <c r="F37" s="8">
        <v>48309276</v>
      </c>
      <c r="G37" s="8">
        <v>41093952</v>
      </c>
      <c r="H37" s="8">
        <v>296018363</v>
      </c>
      <c r="I37" s="8">
        <v>50977162</v>
      </c>
      <c r="J37" s="8">
        <v>22159072</v>
      </c>
      <c r="K37" s="8">
        <v>9947120</v>
      </c>
      <c r="L37" s="8">
        <v>11833541</v>
      </c>
      <c r="M37" s="8">
        <v>2772000</v>
      </c>
      <c r="N37" s="8">
        <v>7317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AB1E-A912-4AC5-9AC9-5FD41EB19806}">
  <dimension ref="A1:L37"/>
  <sheetViews>
    <sheetView tabSelected="1" zoomScale="53" zoomScaleNormal="60" workbookViewId="0">
      <selection activeCell="L15" sqref="L15"/>
    </sheetView>
  </sheetViews>
  <sheetFormatPr defaultRowHeight="14.5" x14ac:dyDescent="0.35"/>
  <cols>
    <col min="1" max="1" width="17.08984375" bestFit="1" customWidth="1"/>
    <col min="2" max="2" width="13.1796875" bestFit="1" customWidth="1"/>
    <col min="4" max="4" width="22.08984375" style="16" bestFit="1" customWidth="1"/>
    <col min="5" max="5" width="19.36328125" style="16" bestFit="1" customWidth="1"/>
    <col min="6" max="7" width="8.7265625" style="16"/>
    <col min="8" max="8" width="18.81640625" style="16" bestFit="1" customWidth="1"/>
    <col min="9" max="9" width="22.453125" style="16" bestFit="1" customWidth="1"/>
    <col min="10" max="10" width="19" style="20" bestFit="1" customWidth="1"/>
  </cols>
  <sheetData>
    <row r="1" spans="1:12" ht="15" thickBot="1" x14ac:dyDescent="0.4">
      <c r="A1" t="s">
        <v>0</v>
      </c>
      <c r="B1" t="s">
        <v>144</v>
      </c>
      <c r="C1" t="s">
        <v>145</v>
      </c>
      <c r="D1" s="15" t="s">
        <v>67</v>
      </c>
      <c r="E1" s="17" t="s">
        <v>70</v>
      </c>
      <c r="F1" s="15" t="s">
        <v>73</v>
      </c>
      <c r="G1" s="16" t="s">
        <v>75</v>
      </c>
      <c r="H1" s="15" t="s">
        <v>77</v>
      </c>
      <c r="I1" s="15" t="s">
        <v>146</v>
      </c>
      <c r="J1" s="19" t="s">
        <v>147</v>
      </c>
    </row>
    <row r="2" spans="1:12" ht="15" thickBot="1" x14ac:dyDescent="0.4">
      <c r="A2" s="14" t="str">
        <f>('Raw Data'!A2)</f>
        <v>Askari</v>
      </c>
      <c r="B2" t="str">
        <f>('Raw Data'!B2)</f>
        <v>Conventional</v>
      </c>
      <c r="C2">
        <f>('Raw Data'!C2)</f>
        <v>2019</v>
      </c>
      <c r="D2" s="15">
        <f>('Raw Data'!J2)/('Raw Data'!D2)</f>
        <v>2.1885755860103918E-2</v>
      </c>
      <c r="E2" s="15">
        <f>'Raw Data'!J2/'Raw Data'!I2</f>
        <v>0.61731174177167314</v>
      </c>
      <c r="F2" s="18">
        <f>'Raw Data'!L2/'Raw Data'!D2</f>
        <v>8.4216929619852932E-3</v>
      </c>
      <c r="G2" s="15">
        <f>'Raw Data'!L2/'Raw Data'!F2</f>
        <v>0.16606039155199456</v>
      </c>
      <c r="H2" s="15">
        <f>'Raw Data'!G2/'Raw Data'!D2</f>
        <v>7.565852649764386E-2</v>
      </c>
      <c r="I2" s="15">
        <f>'Raw Data'!H2/'Raw Data'!D2</f>
        <v>0.44756394599501725</v>
      </c>
      <c r="J2" s="19">
        <f>LN('Raw Data'!D2)</f>
        <v>20.540793876042326</v>
      </c>
    </row>
    <row r="3" spans="1:12" x14ac:dyDescent="0.35">
      <c r="A3" s="14" t="str">
        <f>('Raw Data'!A3)</f>
        <v>Askari</v>
      </c>
      <c r="B3" t="str">
        <f>('Raw Data'!B3)</f>
        <v>Conventional</v>
      </c>
      <c r="C3">
        <f>('Raw Data'!C3)</f>
        <v>2020</v>
      </c>
      <c r="D3" s="16">
        <f>('Raw Data'!J3)/('Raw Data'!D3)</f>
        <v>2.027521316303578E-2</v>
      </c>
      <c r="E3" s="16">
        <f>'Raw Data'!J3/'Raw Data'!I3</f>
        <v>0.50363359081091397</v>
      </c>
      <c r="F3" s="16">
        <f>'Raw Data'!L3/'Raw Data'!D3</f>
        <v>1.0881802856100423E-2</v>
      </c>
      <c r="G3" s="16">
        <f>'Raw Data'!L3/'Raw Data'!F3</f>
        <v>0.19800362444049877</v>
      </c>
      <c r="H3" s="16">
        <f>'Raw Data'!G3/'Raw Data'!D3</f>
        <v>7.4207004413189628E-2</v>
      </c>
      <c r="I3" s="16">
        <f>'Raw Data'!H3/'Raw Data'!D3</f>
        <v>0.39835470354866304</v>
      </c>
      <c r="J3" s="20">
        <f>LN('Raw Data'!D3)</f>
        <v>20.715754761309846</v>
      </c>
      <c r="L3" s="25"/>
    </row>
    <row r="4" spans="1:12" x14ac:dyDescent="0.35">
      <c r="A4" s="14" t="str">
        <f>('Raw Data'!A4)</f>
        <v>Askari</v>
      </c>
      <c r="B4" t="str">
        <f>('Raw Data'!B4)</f>
        <v>Conventional</v>
      </c>
      <c r="C4">
        <f>('Raw Data'!C4)</f>
        <v>2021</v>
      </c>
      <c r="D4" s="16">
        <f>('Raw Data'!J4)/('Raw Data'!D4)</f>
        <v>1.6591051691923535E-2</v>
      </c>
      <c r="E4" s="16">
        <f>'Raw Data'!J4/'Raw Data'!I4</f>
        <v>0.50002009364860955</v>
      </c>
      <c r="F4" s="16">
        <f>'Raw Data'!L4/'Raw Data'!D4</f>
        <v>7.7047463675184455E-3</v>
      </c>
      <c r="G4" s="16">
        <f>'Raw Data'!L4/'Raw Data'!F4</f>
        <v>0.17354120504071258</v>
      </c>
      <c r="H4" s="16">
        <f>'Raw Data'!G4/'Raw Data'!D4</f>
        <v>7.1026218810669908E-2</v>
      </c>
      <c r="I4" s="16">
        <f>'Raw Data'!H4/'Raw Data'!D4</f>
        <v>0.37929593093144509</v>
      </c>
      <c r="J4" s="20">
        <f>LN('Raw Data'!D4)</f>
        <v>20.953698048524149</v>
      </c>
    </row>
    <row r="5" spans="1:12" x14ac:dyDescent="0.35">
      <c r="A5" s="14" t="str">
        <f>('Raw Data'!A5)</f>
        <v>Askari</v>
      </c>
      <c r="B5" t="str">
        <f>('Raw Data'!B5)</f>
        <v>Conventional</v>
      </c>
      <c r="C5">
        <f>('Raw Data'!C5)</f>
        <v>2022</v>
      </c>
      <c r="D5" s="16">
        <f>('Raw Data'!J5)/('Raw Data'!D5)</f>
        <v>1.479057011657669E-2</v>
      </c>
      <c r="E5" s="16">
        <f>'Raw Data'!J5/'Raw Data'!I5</f>
        <v>0.43760578150818941</v>
      </c>
      <c r="F5" s="16">
        <f>'Raw Data'!L5/'Raw Data'!D5</f>
        <v>9.2138681471541344E-3</v>
      </c>
      <c r="G5" s="16">
        <f>'Raw Data'!L5/'Raw Data'!F5</f>
        <v>0.19177799951128069</v>
      </c>
      <c r="H5" s="16">
        <f>'Raw Data'!G5/'Raw Data'!D5</f>
        <v>4.6490071885141884E-2</v>
      </c>
      <c r="I5" s="16">
        <f>'Raw Data'!H5/'Raw Data'!D5</f>
        <v>0.38254244565437279</v>
      </c>
      <c r="J5" s="20">
        <f>LN('Raw Data'!D5)</f>
        <v>21.146003402928152</v>
      </c>
    </row>
    <row r="6" spans="1:12" x14ac:dyDescent="0.35">
      <c r="A6" s="14" t="str">
        <f>('Raw Data'!A6)</f>
        <v>Askari</v>
      </c>
      <c r="B6" t="str">
        <f>('Raw Data'!B6)</f>
        <v>Conventional</v>
      </c>
      <c r="C6">
        <f>('Raw Data'!C6)</f>
        <v>2023</v>
      </c>
      <c r="D6" s="16">
        <f>('Raw Data'!J6)/('Raw Data'!D6)</f>
        <v>1.3450729683192946E-2</v>
      </c>
      <c r="E6" s="16">
        <f>'Raw Data'!J6/'Raw Data'!I6</f>
        <v>0.39482948519385458</v>
      </c>
      <c r="F6" s="16">
        <f>'Raw Data'!L6/'Raw Data'!D6</f>
        <v>1.0091619050867267E-2</v>
      </c>
      <c r="G6" s="16">
        <f>'Raw Data'!L6/'Raw Data'!F6</f>
        <v>0.22069642108109688</v>
      </c>
      <c r="H6" s="16">
        <f>'Raw Data'!G6/'Raw Data'!D6</f>
        <v>7.5370501349897576E-2</v>
      </c>
      <c r="I6" s="16">
        <f>'Raw Data'!H6/'Raw Data'!D6</f>
        <v>0.29808429883034993</v>
      </c>
      <c r="J6" s="20">
        <f>LN('Raw Data'!D6)</f>
        <v>21.476569745877722</v>
      </c>
    </row>
    <row r="7" spans="1:12" x14ac:dyDescent="0.35">
      <c r="A7" s="14" t="str">
        <f>('Raw Data'!A7)</f>
        <v>Askari</v>
      </c>
      <c r="B7" t="str">
        <f>('Raw Data'!B7)</f>
        <v>Conventional</v>
      </c>
      <c r="C7">
        <f>('Raw Data'!C7)</f>
        <v>2024</v>
      </c>
      <c r="D7" s="16">
        <f>('Raw Data'!J7)/('Raw Data'!D7)</f>
        <v>1.4172613905930076E-2</v>
      </c>
      <c r="E7" s="16">
        <f>'Raw Data'!J7/'Raw Data'!I7</f>
        <v>0.44979999371955431</v>
      </c>
      <c r="F7" s="16">
        <f>'Raw Data'!L7/'Raw Data'!D7</f>
        <v>8.4145405271665464E-3</v>
      </c>
      <c r="G7" s="16">
        <f>'Raw Data'!L7/'Raw Data'!F7</f>
        <v>0.17284321357453555</v>
      </c>
      <c r="H7" s="16">
        <f>'Raw Data'!G7/'Raw Data'!D7</f>
        <v>5.3436864955143902E-2</v>
      </c>
      <c r="I7" s="16">
        <f>'Raw Data'!H7/'Raw Data'!D7</f>
        <v>0.27848436059241172</v>
      </c>
      <c r="J7" s="20">
        <f>LN('Raw Data'!D7)</f>
        <v>21.638906039272094</v>
      </c>
    </row>
    <row r="8" spans="1:12" x14ac:dyDescent="0.35">
      <c r="A8" s="14" t="str">
        <f>('Raw Data'!A8)</f>
        <v>HBL</v>
      </c>
      <c r="B8" t="str">
        <f>('Raw Data'!B8)</f>
        <v>Conventional</v>
      </c>
      <c r="C8">
        <f>('Raw Data'!C8)</f>
        <v>2019</v>
      </c>
      <c r="D8" s="16">
        <f>('Raw Data'!J8)/('Raw Data'!D8)</f>
        <v>2.7084614668435373E-2</v>
      </c>
      <c r="E8" s="16">
        <f>'Raw Data'!J8/'Raw Data'!I8</f>
        <v>0.72945523870067697</v>
      </c>
      <c r="F8" s="16">
        <f>'Raw Data'!L8/'Raw Data'!D8</f>
        <v>4.9330394259816798E-3</v>
      </c>
      <c r="G8" s="16">
        <f>'Raw Data'!L8/'Raw Data'!F8</f>
        <v>7.4789213882383992E-2</v>
      </c>
      <c r="H8" s="16">
        <f>'Raw Data'!G8/'Raw Data'!D8</f>
        <v>0.11043583045466636</v>
      </c>
      <c r="I8" s="16">
        <f>'Raw Data'!H8/'Raw Data'!D8</f>
        <v>0.35137924776377844</v>
      </c>
      <c r="J8" s="20">
        <f>LN('Raw Data'!D8)</f>
        <v>21.839630860178232</v>
      </c>
    </row>
    <row r="9" spans="1:12" x14ac:dyDescent="0.35">
      <c r="A9" s="14" t="str">
        <f>('Raw Data'!A9)</f>
        <v>HBL</v>
      </c>
      <c r="B9" t="str">
        <f>('Raw Data'!B9)</f>
        <v>Conventional</v>
      </c>
      <c r="C9">
        <f>('Raw Data'!C9)</f>
        <v>2020</v>
      </c>
      <c r="D9" s="16">
        <f>('Raw Data'!J9)/('Raw Data'!D9)</f>
        <v>2.2820577858448144E-2</v>
      </c>
      <c r="E9" s="16">
        <f>'Raw Data'!J9/'Raw Data'!I9</f>
        <v>0.5626153664831719</v>
      </c>
      <c r="F9" s="16">
        <f>'Raw Data'!L9/'Raw Data'!D9</f>
        <v>8.6515302039317198E-3</v>
      </c>
      <c r="G9" s="16">
        <f>'Raw Data'!L9/'Raw Data'!F9</f>
        <v>0.12987418898108727</v>
      </c>
      <c r="H9" s="16">
        <f>'Raw Data'!G9/'Raw Data'!D9</f>
        <v>9.5503919009267829E-2</v>
      </c>
      <c r="I9" s="16">
        <f>'Raw Data'!H9/'Raw Data'!D9</f>
        <v>0.30664362217985786</v>
      </c>
      <c r="J9" s="20">
        <f>LN('Raw Data'!D9)</f>
        <v>22.016268702347514</v>
      </c>
    </row>
    <row r="10" spans="1:12" x14ac:dyDescent="0.35">
      <c r="A10" s="14" t="str">
        <f>('Raw Data'!A10)</f>
        <v>HBL</v>
      </c>
      <c r="B10" t="str">
        <f>('Raw Data'!B10)</f>
        <v>Conventional</v>
      </c>
      <c r="C10">
        <f>('Raw Data'!C10)</f>
        <v>2021</v>
      </c>
      <c r="D10" s="16">
        <f>('Raw Data'!J10)/('Raw Data'!D10)</f>
        <v>2.0764727310458427E-2</v>
      </c>
      <c r="E10" s="16">
        <f>'Raw Data'!J10/'Raw Data'!I10</f>
        <v>0.55783452896286134</v>
      </c>
      <c r="F10" s="16">
        <f>'Raw Data'!L10/'Raw Data'!D10</f>
        <v>8.4110325430024578E-3</v>
      </c>
      <c r="G10" s="16">
        <f>'Raw Data'!L10/'Raw Data'!F10</f>
        <v>0.13287185992450401</v>
      </c>
      <c r="H10" s="16">
        <f>'Raw Data'!G10/'Raw Data'!D10</f>
        <v>0.10050804137629214</v>
      </c>
      <c r="I10" s="16">
        <f>'Raw Data'!H10/'Raw Data'!D10</f>
        <v>0.33980108074754489</v>
      </c>
      <c r="J10" s="20">
        <f>LN('Raw Data'!D10)</f>
        <v>22.128035524790633</v>
      </c>
    </row>
    <row r="11" spans="1:12" x14ac:dyDescent="0.35">
      <c r="A11" s="14" t="str">
        <f>('Raw Data'!A11)</f>
        <v>HBL</v>
      </c>
      <c r="B11" t="str">
        <f>('Raw Data'!B11)</f>
        <v>Conventional</v>
      </c>
      <c r="C11">
        <f>('Raw Data'!C11)</f>
        <v>2022</v>
      </c>
      <c r="D11" s="16">
        <f>('Raw Data'!J11)/('Raw Data'!D11)</f>
        <v>2.5366888982140189E-2</v>
      </c>
      <c r="E11" s="16">
        <f>'Raw Data'!J11/'Raw Data'!I11</f>
        <v>0.58024744140236828</v>
      </c>
      <c r="F11" s="16">
        <f>'Raw Data'!L11/'Raw Data'!D11</f>
        <v>7.0875582307965432E-3</v>
      </c>
      <c r="G11" s="16">
        <f>'Raw Data'!L11/'Raw Data'!F11</f>
        <v>0.12163113087710163</v>
      </c>
      <c r="H11" s="16">
        <f>'Raw Data'!G11/'Raw Data'!D11</f>
        <v>5.9095833894159927E-2</v>
      </c>
      <c r="I11" s="16">
        <f>'Raw Data'!H11/'Raw Data'!D11</f>
        <v>0.37257665625446745</v>
      </c>
      <c r="J11" s="20">
        <f>LN('Raw Data'!D11)</f>
        <v>22.194612701193844</v>
      </c>
    </row>
    <row r="12" spans="1:12" x14ac:dyDescent="0.35">
      <c r="A12" s="14" t="str">
        <f>('Raw Data'!A12)</f>
        <v>HBL</v>
      </c>
      <c r="B12" t="str">
        <f>('Raw Data'!B12)</f>
        <v>Conventional</v>
      </c>
      <c r="C12">
        <f>('Raw Data'!C12)</f>
        <v>2023</v>
      </c>
      <c r="D12" s="16">
        <f>('Raw Data'!J12)/('Raw Data'!D12)</f>
        <v>2.9286614095024831E-2</v>
      </c>
      <c r="E12" s="16">
        <f>'Raw Data'!J12/'Raw Data'!I12</f>
        <v>0.54937204147089647</v>
      </c>
      <c r="F12" s="16">
        <f>'Raw Data'!L12/'Raw Data'!D12</f>
        <v>1.0930332429397364E-2</v>
      </c>
      <c r="G12" s="16">
        <f>'Raw Data'!L12/'Raw Data'!F12</f>
        <v>0.17034003188117586</v>
      </c>
      <c r="H12" s="16">
        <f>'Raw Data'!G12/'Raw Data'!D12</f>
        <v>9.7119024092373218E-2</v>
      </c>
      <c r="I12" s="16">
        <f>'Raw Data'!H12/'Raw Data'!D12</f>
        <v>0.31990030720056112</v>
      </c>
      <c r="J12" s="20">
        <f>LN('Raw Data'!D12)</f>
        <v>22.372245788403106</v>
      </c>
    </row>
    <row r="13" spans="1:12" x14ac:dyDescent="0.35">
      <c r="A13" s="14" t="str">
        <f>('Raw Data'!A13)</f>
        <v>HBL</v>
      </c>
      <c r="B13" t="str">
        <f>('Raw Data'!B13)</f>
        <v>Conventional</v>
      </c>
      <c r="C13">
        <f>('Raw Data'!C13)</f>
        <v>2024</v>
      </c>
      <c r="D13" s="16">
        <f>('Raw Data'!J13)/('Raw Data'!D13)</f>
        <v>3.0153323706274108E-2</v>
      </c>
      <c r="E13" s="16">
        <f>'Raw Data'!J13/'Raw Data'!I13</f>
        <v>0.54483537798153547</v>
      </c>
      <c r="F13" s="16">
        <f>'Raw Data'!L13/'Raw Data'!D13</f>
        <v>1.0029644260656292E-2</v>
      </c>
      <c r="G13" s="16">
        <f>'Raw Data'!L13/'Raw Data'!F13</f>
        <v>0.15025947171856049</v>
      </c>
      <c r="H13" s="16">
        <f>'Raw Data'!G13/'Raw Data'!D13</f>
        <v>7.4408169196210461E-2</v>
      </c>
      <c r="I13" s="16">
        <f>'Raw Data'!H13/'Raw Data'!D13</f>
        <v>0.39841741847084478</v>
      </c>
      <c r="J13" s="20">
        <f>LN('Raw Data'!D13)</f>
        <v>22.456655069550266</v>
      </c>
    </row>
    <row r="14" spans="1:12" x14ac:dyDescent="0.35">
      <c r="A14" s="14" t="str">
        <f>('Raw Data'!A14)</f>
        <v>JS</v>
      </c>
      <c r="B14" t="str">
        <f>('Raw Data'!B14)</f>
        <v>Conventional</v>
      </c>
      <c r="C14">
        <f>('Raw Data'!C14)</f>
        <v>2019</v>
      </c>
      <c r="D14" s="16">
        <f>('Raw Data'!J14)/('Raw Data'!D14)</f>
        <v>2.2940241106289474E-2</v>
      </c>
      <c r="E14" s="16">
        <f>'Raw Data'!J14/'Raw Data'!I14</f>
        <v>0.98360734630195279</v>
      </c>
      <c r="F14" s="16">
        <f>'Raw Data'!L14/'Raw Data'!D14</f>
        <v>5.2405584361007029E-5</v>
      </c>
      <c r="G14" s="16">
        <f>'Raw Data'!L14/'Raw Data'!F14</f>
        <v>1.4222948892172879E-3</v>
      </c>
      <c r="H14" s="16">
        <f>'Raw Data'!G14/'Raw Data'!D14</f>
        <v>5.4396008102979385E-2</v>
      </c>
      <c r="I14" s="16">
        <f>'Raw Data'!H14/'Raw Data'!D14</f>
        <v>0.5164340632557064</v>
      </c>
      <c r="J14" s="20">
        <f>LN('Raw Data'!D14)</f>
        <v>19.969151276460181</v>
      </c>
    </row>
    <row r="15" spans="1:12" x14ac:dyDescent="0.35">
      <c r="A15" s="14" t="str">
        <f>('Raw Data'!A15)</f>
        <v>JS</v>
      </c>
      <c r="B15" t="str">
        <f>('Raw Data'!B15)</f>
        <v>Conventional</v>
      </c>
      <c r="C15">
        <f>('Raw Data'!C15)</f>
        <v>2020</v>
      </c>
      <c r="D15" s="16">
        <f>('Raw Data'!J15)/('Raw Data'!D15)</f>
        <v>2.4464060532477839E-2</v>
      </c>
      <c r="E15" s="16">
        <f>'Raw Data'!J15/'Raw Data'!I15</f>
        <v>0.79125310083210731</v>
      </c>
      <c r="F15" s="16">
        <f>'Raw Data'!L15/'Raw Data'!D15</f>
        <v>2.1610828370828374E-3</v>
      </c>
      <c r="G15" s="16">
        <f>'Raw Data'!L15/'Raw Data'!F15</f>
        <v>5.5849280465698481E-2</v>
      </c>
      <c r="H15" s="16">
        <f>'Raw Data'!G15/'Raw Data'!D15</f>
        <v>5.716466984073211E-2</v>
      </c>
      <c r="I15" s="16">
        <f>'Raw Data'!H15/'Raw Data'!D15</f>
        <v>0.4701503604116653</v>
      </c>
      <c r="J15" s="20">
        <f>LN('Raw Data'!D15)</f>
        <v>20.092470542328865</v>
      </c>
    </row>
    <row r="16" spans="1:12" x14ac:dyDescent="0.35">
      <c r="A16" s="14" t="str">
        <f>('Raw Data'!A16)</f>
        <v>JS</v>
      </c>
      <c r="B16" t="str">
        <f>('Raw Data'!B16)</f>
        <v>Conventional</v>
      </c>
      <c r="C16">
        <f>('Raw Data'!C16)</f>
        <v>2021</v>
      </c>
      <c r="D16" s="16">
        <f>('Raw Data'!J16)/('Raw Data'!D16)</f>
        <v>2.1774678590736903E-2</v>
      </c>
      <c r="E16" s="16">
        <f>'Raw Data'!J16/'Raw Data'!I16</f>
        <v>0.74965436017625864</v>
      </c>
      <c r="F16" s="16">
        <f>'Raw Data'!L16/'Raw Data'!D16</f>
        <v>2.2324437494746392E-3</v>
      </c>
      <c r="G16" s="16">
        <f>'Raw Data'!L16/'Raw Data'!F16</f>
        <v>5.9225712144292231E-2</v>
      </c>
      <c r="H16" s="16">
        <f>'Raw Data'!G16/'Raw Data'!D16</f>
        <v>5.8647115661049389E-2</v>
      </c>
      <c r="I16" s="16">
        <f>'Raw Data'!H16/'Raw Data'!D16</f>
        <v>0.43503129703720139</v>
      </c>
      <c r="J16" s="20">
        <f>LN('Raw Data'!D16)</f>
        <v>20.185906031525501</v>
      </c>
    </row>
    <row r="17" spans="1:10" x14ac:dyDescent="0.35">
      <c r="A17" s="14" t="str">
        <f>('Raw Data'!A17)</f>
        <v>JS</v>
      </c>
      <c r="B17" t="str">
        <f>('Raw Data'!B17)</f>
        <v>Conventional</v>
      </c>
      <c r="C17">
        <f>('Raw Data'!C17)</f>
        <v>2022</v>
      </c>
      <c r="D17" s="16">
        <f>('Raw Data'!J17)/('Raw Data'!D17)</f>
        <v>2.7158338310141982E-2</v>
      </c>
      <c r="E17" s="16">
        <f>'Raw Data'!J17/'Raw Data'!I17</f>
        <v>0.83096545679571687</v>
      </c>
      <c r="F17" s="16">
        <f>'Raw Data'!L17/'Raw Data'!D17</f>
        <v>1.5643810005596859E-3</v>
      </c>
      <c r="G17" s="16">
        <f>'Raw Data'!L17/'Raw Data'!F17</f>
        <v>4.4776305739661522E-2</v>
      </c>
      <c r="H17" s="16">
        <f>'Raw Data'!G17/'Raw Data'!D17</f>
        <v>4.0156226462758897E-2</v>
      </c>
      <c r="I17" s="16">
        <f>'Raw Data'!H17/'Raw Data'!D17</f>
        <v>0.37473003130796972</v>
      </c>
      <c r="J17" s="20">
        <f>LN('Raw Data'!D17)</f>
        <v>20.239918362071972</v>
      </c>
    </row>
    <row r="18" spans="1:10" x14ac:dyDescent="0.35">
      <c r="A18" s="14" t="str">
        <f>('Raw Data'!A18)</f>
        <v>JS</v>
      </c>
      <c r="B18" t="str">
        <f>('Raw Data'!B18)</f>
        <v>Conventional</v>
      </c>
      <c r="C18">
        <f>('Raw Data'!C18)</f>
        <v>2023</v>
      </c>
      <c r="D18" s="16">
        <f>('Raw Data'!J18)/('Raw Data'!D18)</f>
        <v>3.9091086158000478E-2</v>
      </c>
      <c r="E18" s="16">
        <f>'Raw Data'!J18/'Raw Data'!I18</f>
        <v>0.66567904936815314</v>
      </c>
      <c r="F18" s="16">
        <f>'Raw Data'!L18/'Raw Data'!D18</f>
        <v>7.3543930965539054E-3</v>
      </c>
      <c r="G18" s="16">
        <f>'Raw Data'!L18/'Raw Data'!F18</f>
        <v>0.10750733320523144</v>
      </c>
      <c r="H18" s="16">
        <f>'Raw Data'!G18/'Raw Data'!D18</f>
        <v>6.9380351293786405E-2</v>
      </c>
      <c r="I18" s="16">
        <f>'Raw Data'!H18/'Raw Data'!D18</f>
        <v>0.34563230652628907</v>
      </c>
      <c r="J18" s="20">
        <f>LN('Raw Data'!D18)</f>
        <v>20.194670696313864</v>
      </c>
    </row>
    <row r="19" spans="1:10" x14ac:dyDescent="0.35">
      <c r="A19" s="14" t="str">
        <f>('Raw Data'!A19)</f>
        <v>JS</v>
      </c>
      <c r="B19" t="str">
        <f>('Raw Data'!B19)</f>
        <v>Conventional</v>
      </c>
      <c r="C19">
        <f>('Raw Data'!C19)</f>
        <v>2024</v>
      </c>
      <c r="D19" s="16">
        <f>('Raw Data'!J19)/('Raw Data'!D19)</f>
        <v>4.2989977281630433E-2</v>
      </c>
      <c r="E19" s="16">
        <f>'Raw Data'!J19/'Raw Data'!I19</f>
        <v>0.70748083743728685</v>
      </c>
      <c r="F19" s="16">
        <f>'Raw Data'!L19/'Raw Data'!D19</f>
        <v>4.4779648705412997E-3</v>
      </c>
      <c r="G19" s="16">
        <f>'Raw Data'!L19/'Raw Data'!F19</f>
        <v>6.5172394652949023E-2</v>
      </c>
      <c r="H19" s="16">
        <f>'Raw Data'!G19/'Raw Data'!D19</f>
        <v>6.7690048779634443E-2</v>
      </c>
      <c r="I19" s="16">
        <f>'Raw Data'!H19/'Raw Data'!D19</f>
        <v>0.35452924112792877</v>
      </c>
      <c r="J19" s="20">
        <f>LN('Raw Data'!D19)</f>
        <v>20.270877767460192</v>
      </c>
    </row>
    <row r="20" spans="1:10" x14ac:dyDescent="0.35">
      <c r="A20" s="14" t="str">
        <f>('Raw Data'!A20)</f>
        <v>Meezan</v>
      </c>
      <c r="B20" t="str">
        <f>('Raw Data'!B20)</f>
        <v>Islamic</v>
      </c>
      <c r="C20">
        <f>('Raw Data'!C20)</f>
        <v>2019</v>
      </c>
      <c r="D20" s="16">
        <f>('Raw Data'!J20)/('Raw Data'!D20)</f>
        <v>2.2145352251739144E-2</v>
      </c>
      <c r="E20" s="16">
        <f>'Raw Data'!J20/'Raw Data'!I20</f>
        <v>0.44451936048841911</v>
      </c>
      <c r="F20" s="16">
        <f>'Raw Data'!L20/'Raw Data'!D20</f>
        <v>1.3584804344280886E-2</v>
      </c>
      <c r="G20" s="16">
        <f>'Raw Data'!L20/'Raw Data'!F20</f>
        <v>0.25810332392494356</v>
      </c>
      <c r="H20" s="16">
        <f>'Raw Data'!G20/'Raw Data'!D20</f>
        <v>8.2223128053780195E-2</v>
      </c>
      <c r="I20" s="16">
        <f>'Raw Data'!H20/'Raw Data'!D20</f>
        <v>0.44037610803621341</v>
      </c>
      <c r="J20" s="20">
        <f>LN('Raw Data'!D20)</f>
        <v>20.837717332737164</v>
      </c>
    </row>
    <row r="21" spans="1:10" x14ac:dyDescent="0.35">
      <c r="A21" s="14" t="str">
        <f>('Raw Data'!A21)</f>
        <v>Meezan</v>
      </c>
      <c r="B21" t="str">
        <f>('Raw Data'!B21)</f>
        <v>Islamic</v>
      </c>
      <c r="C21">
        <f>('Raw Data'!C21)</f>
        <v>2020</v>
      </c>
      <c r="D21" s="16">
        <f>('Raw Data'!J21)/('Raw Data'!D21)</f>
        <v>1.8933574862200441E-2</v>
      </c>
      <c r="E21" s="16">
        <f>'Raw Data'!J21/'Raw Data'!I21</f>
        <v>0.38452028929757537</v>
      </c>
      <c r="F21" s="16">
        <f>'Raw Data'!L21/'Raw Data'!D21</f>
        <v>1.4567689623050901E-2</v>
      </c>
      <c r="G21" s="16">
        <f>'Raw Data'!L21/'Raw Data'!F21</f>
        <v>0.32051942364013175</v>
      </c>
      <c r="H21" s="16">
        <f>'Raw Data'!G21/'Raw Data'!D21</f>
        <v>8.9541354323002226E-2</v>
      </c>
      <c r="I21" s="16">
        <f>'Raw Data'!H21/'Raw Data'!D21</f>
        <v>0.33684646736675056</v>
      </c>
      <c r="J21" s="20">
        <f>LN('Raw Data'!D21)</f>
        <v>21.14300160836477</v>
      </c>
    </row>
    <row r="22" spans="1:10" x14ac:dyDescent="0.35">
      <c r="A22" s="14" t="str">
        <f>('Raw Data'!A22)</f>
        <v>Meezan</v>
      </c>
      <c r="B22" t="str">
        <f>('Raw Data'!B22)</f>
        <v>Islamic</v>
      </c>
      <c r="C22">
        <f>('Raw Data'!C22)</f>
        <v>2021</v>
      </c>
      <c r="D22" s="16">
        <f>('Raw Data'!J22)/('Raw Data'!D22)</f>
        <v>1.8054024879196818E-2</v>
      </c>
      <c r="E22" s="16">
        <f>'Raw Data'!J22/'Raw Data'!I22</f>
        <v>0.40991648434491157</v>
      </c>
      <c r="F22" s="16">
        <f>'Raw Data'!L22/'Raw Data'!D22</f>
        <v>1.4900464084746623E-2</v>
      </c>
      <c r="G22" s="16">
        <f>'Raw Data'!L22/'Raw Data'!F22</f>
        <v>0.32758648197692236</v>
      </c>
      <c r="H22" s="16">
        <f>'Raw Data'!G22/'Raw Data'!D22</f>
        <v>8.959708905767054E-2</v>
      </c>
      <c r="I22" s="16">
        <f>'Raw Data'!H22/'Raw Data'!D22</f>
        <v>0.39836968648083726</v>
      </c>
      <c r="J22" s="20">
        <f>LN('Raw Data'!D22)</f>
        <v>21.366682396245753</v>
      </c>
    </row>
    <row r="23" spans="1:10" x14ac:dyDescent="0.35">
      <c r="A23" s="14" t="str">
        <f>('Raw Data'!A23)</f>
        <v>Meezan</v>
      </c>
      <c r="B23" t="str">
        <f>('Raw Data'!B23)</f>
        <v>Islamic</v>
      </c>
      <c r="C23">
        <f>('Raw Data'!C23)</f>
        <v>2022</v>
      </c>
      <c r="D23" s="16">
        <f>('Raw Data'!J23)/('Raw Data'!D23)</f>
        <v>1.794051200975184E-2</v>
      </c>
      <c r="E23" s="16">
        <f>'Raw Data'!J23/'Raw Data'!I23</f>
        <v>0.32839199813156772</v>
      </c>
      <c r="F23" s="16">
        <f>'Raw Data'!L23/'Raw Data'!D23</f>
        <v>1.7462036728101735E-2</v>
      </c>
      <c r="G23" s="16">
        <f>'Raw Data'!L23/'Raw Data'!F23</f>
        <v>0.390273495841722</v>
      </c>
      <c r="H23" s="16">
        <f>'Raw Data'!G23/'Raw Data'!D23</f>
        <v>4.5682943937629963E-2</v>
      </c>
      <c r="I23" s="16">
        <f>'Raw Data'!H23/'Raw Data'!D23</f>
        <v>0.38624556350011935</v>
      </c>
      <c r="J23" s="20">
        <f>LN('Raw Data'!D23)</f>
        <v>21.670046010116227</v>
      </c>
    </row>
    <row r="24" spans="1:10" x14ac:dyDescent="0.35">
      <c r="A24" s="14" t="str">
        <f>('Raw Data'!A24)</f>
        <v>Meezan</v>
      </c>
      <c r="B24" t="str">
        <f>('Raw Data'!B24)</f>
        <v>Islamic</v>
      </c>
      <c r="C24">
        <f>('Raw Data'!C24)</f>
        <v>2023</v>
      </c>
      <c r="D24" s="16">
        <f>('Raw Data'!J24)/('Raw Data'!D24)</f>
        <v>2.2534576429970518E-2</v>
      </c>
      <c r="E24" s="16">
        <f>'Raw Data'!J24/'Raw Data'!I24</f>
        <v>0.2731057055830825</v>
      </c>
      <c r="F24" s="16">
        <f>'Raw Data'!L24/'Raw Data'!D24</f>
        <v>2.8045349227076397E-2</v>
      </c>
      <c r="G24" s="16">
        <f>'Raw Data'!L24/'Raw Data'!F24</f>
        <v>0.45685347664908615</v>
      </c>
      <c r="H24" s="16">
        <f>'Raw Data'!G24/'Raw Data'!D24</f>
        <v>8.0545417039202871E-2</v>
      </c>
      <c r="I24" s="16">
        <f>'Raw Data'!H24/'Raw Data'!D24</f>
        <v>0.31926902033836491</v>
      </c>
      <c r="J24" s="20">
        <f>LN('Raw Data'!D24)</f>
        <v>21.825906254133908</v>
      </c>
    </row>
    <row r="25" spans="1:10" x14ac:dyDescent="0.35">
      <c r="A25" s="14" t="str">
        <f>('Raw Data'!A25)</f>
        <v>Meezan</v>
      </c>
      <c r="B25" t="str">
        <f>('Raw Data'!B25)</f>
        <v>Islamic</v>
      </c>
      <c r="C25">
        <f>('Raw Data'!C25)</f>
        <v>2024</v>
      </c>
      <c r="D25" s="16">
        <f>('Raw Data'!J25)/('Raw Data'!D25)</f>
        <v>2.0384926684130004E-2</v>
      </c>
      <c r="E25" s="16">
        <f>'Raw Data'!J25/'Raw Data'!I25</f>
        <v>0.25167851757914939</v>
      </c>
      <c r="F25" s="16">
        <f>'Raw Data'!L25/'Raw Data'!D25</f>
        <v>2.6024825438090399E-2</v>
      </c>
      <c r="G25" s="16">
        <f>'Raw Data'!L25/'Raw Data'!F25</f>
        <v>0.41098777245315665</v>
      </c>
      <c r="H25" s="16">
        <f>'Raw Data'!G25/'Raw Data'!D25</f>
        <v>6.6847887553439136E-2</v>
      </c>
      <c r="I25" s="16">
        <f>'Raw Data'!H25/'Raw Data'!D25</f>
        <v>0.38835799812939215</v>
      </c>
      <c r="J25" s="20">
        <f>LN('Raw Data'!D25)</f>
        <v>22.084347853751293</v>
      </c>
    </row>
    <row r="26" spans="1:10" x14ac:dyDescent="0.35">
      <c r="A26" s="14" t="str">
        <f>('Raw Data'!A26)</f>
        <v>Dubai Islamic Bank</v>
      </c>
      <c r="B26" t="str">
        <f>('Raw Data'!B26)</f>
        <v>Islamic</v>
      </c>
      <c r="C26">
        <f>('Raw Data'!C26)</f>
        <v>2019</v>
      </c>
      <c r="D26" s="16">
        <f>('Raw Data'!J26)/('Raw Data'!D26)</f>
        <v>2.5161509118824071E-2</v>
      </c>
      <c r="E26" s="16">
        <f>'Raw Data'!J26/'Raw Data'!I26</f>
        <v>0.50127522530711888</v>
      </c>
      <c r="F26" s="16">
        <f>'Raw Data'!L26/'Raw Data'!D26</f>
        <v>1.2642134489985886E-2</v>
      </c>
      <c r="G26" s="16">
        <f>'Raw Data'!L26/'Raw Data'!F26</f>
        <v>0.15095665073023359</v>
      </c>
      <c r="H26" s="16">
        <f>'Raw Data'!G26/'Raw Data'!D26</f>
        <v>7.3373372891480257E-2</v>
      </c>
      <c r="I26" s="16">
        <f>'Raw Data'!H26/'Raw Data'!D26</f>
        <v>0.67232000508708822</v>
      </c>
      <c r="J26" s="20">
        <f>LN('Raw Data'!D26)</f>
        <v>19.393875747597331</v>
      </c>
    </row>
    <row r="27" spans="1:10" x14ac:dyDescent="0.35">
      <c r="A27" s="14" t="str">
        <f>('Raw Data'!A27)</f>
        <v>Dubai Islamic Bank</v>
      </c>
      <c r="B27" t="str">
        <f>('Raw Data'!B27)</f>
        <v>Islamic</v>
      </c>
      <c r="C27">
        <f>('Raw Data'!C27)</f>
        <v>2020</v>
      </c>
      <c r="D27" s="16">
        <f>('Raw Data'!J27)/('Raw Data'!D27)</f>
        <v>2.4301323736189272E-2</v>
      </c>
      <c r="E27" s="16">
        <f>'Raw Data'!J27/'Raw Data'!I27</f>
        <v>0.51211800168638166</v>
      </c>
      <c r="F27" s="16">
        <f>'Raw Data'!L27/'Raw Data'!D27</f>
        <v>9.5425389417934086E-3</v>
      </c>
      <c r="G27" s="16">
        <f>'Raw Data'!L27/'Raw Data'!F27</f>
        <v>0.11752463013475881</v>
      </c>
      <c r="H27" s="16">
        <f>'Raw Data'!G27/'Raw Data'!D27</f>
        <v>6.2971558374065942E-2</v>
      </c>
      <c r="I27" s="16">
        <f>'Raw Data'!H27/'Raw Data'!D27</f>
        <v>0.65757100400289636</v>
      </c>
      <c r="J27" s="20">
        <f>LN('Raw Data'!D27)</f>
        <v>19.5301082138052</v>
      </c>
    </row>
    <row r="28" spans="1:10" x14ac:dyDescent="0.35">
      <c r="A28" s="14" t="str">
        <f>('Raw Data'!A28)</f>
        <v>Dubai Islamic Bank</v>
      </c>
      <c r="B28" t="str">
        <f>('Raw Data'!B28)</f>
        <v>Islamic</v>
      </c>
      <c r="C28">
        <f>('Raw Data'!C28)</f>
        <v>2021</v>
      </c>
      <c r="D28" s="16">
        <f>('Raw Data'!J28)/('Raw Data'!D28)</f>
        <v>2.3573750125965874E-2</v>
      </c>
      <c r="E28" s="16">
        <f>'Raw Data'!J28/'Raw Data'!I28</f>
        <v>0.53271571235283965</v>
      </c>
      <c r="F28" s="16">
        <f>'Raw Data'!L28/'Raw Data'!D28</f>
        <v>8.7895793215341331E-3</v>
      </c>
      <c r="G28" s="16">
        <f>'Raw Data'!L28/'Raw Data'!F28</f>
        <v>0.11206527326690889</v>
      </c>
      <c r="H28" s="16">
        <f>'Raw Data'!G28/'Raw Data'!D28</f>
        <v>7.3294830758809784E-2</v>
      </c>
      <c r="I28" s="16">
        <f>'Raw Data'!H28/'Raw Data'!D28</f>
        <v>0.64119903904514353</v>
      </c>
      <c r="J28" s="20">
        <f>LN('Raw Data'!D28)</f>
        <v>19.677646750154071</v>
      </c>
    </row>
    <row r="29" spans="1:10" x14ac:dyDescent="0.35">
      <c r="A29" s="14" t="str">
        <f>('Raw Data'!A29)</f>
        <v>Dubai Islamic Bank</v>
      </c>
      <c r="B29" t="str">
        <f>('Raw Data'!B29)</f>
        <v>Islamic</v>
      </c>
      <c r="C29">
        <f>('Raw Data'!C29)</f>
        <v>2022</v>
      </c>
      <c r="D29" s="16">
        <f>('Raw Data'!J29)/('Raw Data'!D29)</f>
        <v>2.2748688767385415E-2</v>
      </c>
      <c r="E29" s="16">
        <f>'Raw Data'!J29/'Raw Data'!I29</f>
        <v>0.44149117673344035</v>
      </c>
      <c r="F29" s="16">
        <f>'Raw Data'!L29/'Raw Data'!D29</f>
        <v>8.7913288093717651E-3</v>
      </c>
      <c r="G29" s="16">
        <f>'Raw Data'!L29/'Raw Data'!F29</f>
        <v>0.13005606006108184</v>
      </c>
      <c r="H29" s="16">
        <f>'Raw Data'!G29/'Raw Data'!D29</f>
        <v>0.10245416526229967</v>
      </c>
      <c r="I29" s="16">
        <f>'Raw Data'!H29/'Raw Data'!D29</f>
        <v>0.55629380092113423</v>
      </c>
      <c r="J29" s="20">
        <f>LN('Raw Data'!D29)</f>
        <v>19.914461898099336</v>
      </c>
    </row>
    <row r="30" spans="1:10" x14ac:dyDescent="0.35">
      <c r="A30" s="14" t="str">
        <f>('Raw Data'!A30)</f>
        <v>Dubai Islamic Bank</v>
      </c>
      <c r="B30" t="str">
        <f>('Raw Data'!B30)</f>
        <v>Islamic</v>
      </c>
      <c r="C30">
        <f>('Raw Data'!C30)</f>
        <v>2023</v>
      </c>
      <c r="D30" s="16">
        <f>('Raw Data'!J30)/('Raw Data'!D30)</f>
        <v>2.8783353365125962E-2</v>
      </c>
      <c r="E30" s="16">
        <f>'Raw Data'!J30/'Raw Data'!I30</f>
        <v>0.36239832474331835</v>
      </c>
      <c r="F30" s="16">
        <f>'Raw Data'!L30/'Raw Data'!D30</f>
        <v>1.5590018051850434E-2</v>
      </c>
      <c r="G30" s="16">
        <f>'Raw Data'!L30/'Raw Data'!F30</f>
        <v>0.18079375195160702</v>
      </c>
      <c r="H30" s="16">
        <f>'Raw Data'!G30/'Raw Data'!D30</f>
        <v>6.7058855966180067E-2</v>
      </c>
      <c r="I30" s="16">
        <f>'Raw Data'!H30/'Raw Data'!D30</f>
        <v>0.5639727144039699</v>
      </c>
      <c r="J30" s="20">
        <f>LN('Raw Data'!D30)</f>
        <v>19.881600970417573</v>
      </c>
    </row>
    <row r="31" spans="1:10" x14ac:dyDescent="0.35">
      <c r="A31" s="14" t="str">
        <f>('Raw Data'!A31)</f>
        <v>Dubai Islamic Bank</v>
      </c>
      <c r="B31" t="str">
        <f>('Raw Data'!B31)</f>
        <v>Islamic</v>
      </c>
      <c r="C31">
        <f>('Raw Data'!C31)</f>
        <v>2024</v>
      </c>
      <c r="D31" s="16">
        <f>('Raw Data'!J31)/('Raw Data'!D31)</f>
        <v>3.497448929623595E-2</v>
      </c>
      <c r="E31" s="16">
        <f>'Raw Data'!J31/'Raw Data'!I31</f>
        <v>0.46307911691310877</v>
      </c>
      <c r="F31" s="16">
        <f>'Raw Data'!L31/'Raw Data'!D31</f>
        <v>1.4731169609882562E-2</v>
      </c>
      <c r="G31" s="16">
        <f>'Raw Data'!L31/'Raw Data'!F31</f>
        <v>0.14843394351945829</v>
      </c>
      <c r="H31" s="16">
        <f>'Raw Data'!G31/'Raw Data'!D31</f>
        <v>6.7197772289372501E-2</v>
      </c>
      <c r="I31" s="16">
        <f>'Raw Data'!H31/'Raw Data'!D31</f>
        <v>0.44957626448652671</v>
      </c>
      <c r="J31" s="20">
        <f>LN('Raw Data'!D31)</f>
        <v>19.93115916814865</v>
      </c>
    </row>
    <row r="32" spans="1:10" x14ac:dyDescent="0.35">
      <c r="A32" s="14" t="str">
        <f>('Raw Data'!A32)</f>
        <v>BankIslami</v>
      </c>
      <c r="B32" t="str">
        <f>('Raw Data'!B32)</f>
        <v>Islamic</v>
      </c>
      <c r="C32">
        <f>('Raw Data'!C32)</f>
        <v>2019</v>
      </c>
      <c r="D32" s="16">
        <f>('Raw Data'!J32)/('Raw Data'!D32)</f>
        <v>2.7273968995179431E-2</v>
      </c>
      <c r="E32" s="16">
        <f>'Raw Data'!J32/'Raw Data'!I32</f>
        <v>0.62149300825245546</v>
      </c>
      <c r="F32" s="16">
        <f>'Raw Data'!L32/'Raw Data'!D32</f>
        <v>3.8408741296527679E-3</v>
      </c>
      <c r="G32" s="16">
        <f>'Raw Data'!L32/'Raw Data'!F32</f>
        <v>5.5205101132535746E-2</v>
      </c>
      <c r="H32" s="16">
        <f>'Raw Data'!G32/'Raw Data'!D32</f>
        <v>5.1714391772015374E-2</v>
      </c>
      <c r="I32" s="16">
        <f>'Raw Data'!H32/'Raw Data'!D32</f>
        <v>0.46547557738387252</v>
      </c>
      <c r="J32" s="20">
        <f>LN('Raw Data'!D32)</f>
        <v>19.461298365688947</v>
      </c>
    </row>
    <row r="33" spans="1:10" x14ac:dyDescent="0.35">
      <c r="A33" s="14" t="str">
        <f>('Raw Data'!A33)</f>
        <v>BankIslami</v>
      </c>
      <c r="B33" t="str">
        <f>('Raw Data'!B33)</f>
        <v>Islamic</v>
      </c>
      <c r="C33">
        <f>('Raw Data'!C33)</f>
        <v>2020</v>
      </c>
      <c r="D33" s="16">
        <f>('Raw Data'!J33)/('Raw Data'!D33)</f>
        <v>2.5507317635362028E-2</v>
      </c>
      <c r="E33" s="16">
        <f>'Raw Data'!J33/'Raw Data'!I33</f>
        <v>0.60732351543297214</v>
      </c>
      <c r="F33" s="16">
        <f>'Raw Data'!L33/'Raw Data'!D33</f>
        <v>5.0643731309432047E-3</v>
      </c>
      <c r="G33" s="16">
        <f>'Raw Data'!L33/'Raw Data'!F33</f>
        <v>8.5605438062790404E-2</v>
      </c>
      <c r="H33" s="16">
        <f>'Raw Data'!G33/'Raw Data'!D33</f>
        <v>6.551948270485361E-2</v>
      </c>
      <c r="I33" s="16">
        <f>'Raw Data'!H33/'Raw Data'!D33</f>
        <v>0.3870441117846864</v>
      </c>
      <c r="J33" s="20">
        <f>LN('Raw Data'!D33)</f>
        <v>19.633506142185208</v>
      </c>
    </row>
    <row r="34" spans="1:10" x14ac:dyDescent="0.35">
      <c r="A34" s="14" t="str">
        <f>('Raw Data'!A34)</f>
        <v>BankIslami</v>
      </c>
      <c r="B34" t="str">
        <f>('Raw Data'!B34)</f>
        <v>Islamic</v>
      </c>
      <c r="C34">
        <f>('Raw Data'!C34)</f>
        <v>2021</v>
      </c>
      <c r="D34" s="16">
        <f>('Raw Data'!J34)/('Raw Data'!D34)</f>
        <v>2.3383554766917579E-2</v>
      </c>
      <c r="E34" s="16">
        <f>'Raw Data'!J34/'Raw Data'!I34</f>
        <v>0.73168002209073413</v>
      </c>
      <c r="F34" s="16">
        <f>'Raw Data'!L34/'Raw Data'!D34</f>
        <v>5.2189061728013077E-3</v>
      </c>
      <c r="G34" s="16">
        <f>'Raw Data'!L34/'Raw Data'!F34</f>
        <v>9.4679528885219008E-2</v>
      </c>
      <c r="H34" s="16">
        <f>'Raw Data'!G34/'Raw Data'!D34</f>
        <v>6.0119827956487515E-2</v>
      </c>
      <c r="I34" s="16">
        <f>'Raw Data'!H34/'Raw Data'!D34</f>
        <v>0.44363515709856427</v>
      </c>
      <c r="J34" s="20">
        <f>LN('Raw Data'!D34)</f>
        <v>19.827733584219995</v>
      </c>
    </row>
    <row r="35" spans="1:10" x14ac:dyDescent="0.35">
      <c r="A35" s="14" t="str">
        <f>('Raw Data'!A35)</f>
        <v>BankIslami</v>
      </c>
      <c r="B35" t="str">
        <f>('Raw Data'!B35)</f>
        <v>Islamic</v>
      </c>
      <c r="C35">
        <f>('Raw Data'!C35)</f>
        <v>2022</v>
      </c>
      <c r="D35" s="16">
        <f>('Raw Data'!J35)/('Raw Data'!D35)</f>
        <v>2.4163021214930708E-2</v>
      </c>
      <c r="E35" s="16">
        <f>'Raw Data'!J35/'Raw Data'!I35</f>
        <v>0.49052375293740264</v>
      </c>
      <c r="F35" s="16">
        <f>'Raw Data'!L35/'Raw Data'!D35</f>
        <v>9.1118198245135947E-3</v>
      </c>
      <c r="G35" s="16">
        <f>'Raw Data'!L35/'Raw Data'!F35</f>
        <v>0.16784754983487774</v>
      </c>
      <c r="H35" s="16">
        <f>'Raw Data'!G35/'Raw Data'!D35</f>
        <v>8.2039189825959619E-2</v>
      </c>
      <c r="I35" s="16">
        <f>'Raw Data'!H35/'Raw Data'!D35</f>
        <v>0.41320254684316066</v>
      </c>
      <c r="J35" s="20">
        <f>LN('Raw Data'!D35)</f>
        <v>20.004265550283904</v>
      </c>
    </row>
    <row r="36" spans="1:10" x14ac:dyDescent="0.35">
      <c r="A36" s="14" t="str">
        <f>('Raw Data'!A36)</f>
        <v>BankIslami</v>
      </c>
      <c r="B36" t="str">
        <f>('Raw Data'!B36)</f>
        <v>Islamic</v>
      </c>
      <c r="C36">
        <f>('Raw Data'!C36)</f>
        <v>2023</v>
      </c>
      <c r="D36" s="16">
        <f>('Raw Data'!J36)/('Raw Data'!D36)</f>
        <v>2.4676282730105706E-2</v>
      </c>
      <c r="E36" s="16">
        <f>'Raw Data'!J36/'Raw Data'!I36</f>
        <v>0.37153478100558812</v>
      </c>
      <c r="F36" s="16">
        <f>'Raw Data'!L36/'Raw Data'!D36</f>
        <v>1.68661997325938E-2</v>
      </c>
      <c r="G36" s="16">
        <f>'Raw Data'!L36/'Raw Data'!F36</f>
        <v>0.30288827501888199</v>
      </c>
      <c r="H36" s="16">
        <f>'Raw Data'!G36/'Raw Data'!D36</f>
        <v>6.3046604277587848E-2</v>
      </c>
      <c r="I36" s="16">
        <f>'Raw Data'!H36/'Raw Data'!D36</f>
        <v>0.35151362959356186</v>
      </c>
      <c r="J36" s="20">
        <f>LN('Raw Data'!D36)</f>
        <v>20.299941033706354</v>
      </c>
    </row>
    <row r="37" spans="1:10" x14ac:dyDescent="0.35">
      <c r="A37" s="14" t="str">
        <f>('Raw Data'!A37)</f>
        <v>BankIslami</v>
      </c>
      <c r="B37" t="str">
        <f>('Raw Data'!B37)</f>
        <v>Islamic</v>
      </c>
      <c r="C37">
        <f>('Raw Data'!C37)</f>
        <v>2024</v>
      </c>
      <c r="D37" s="16">
        <f>('Raw Data'!J37)/('Raw Data'!D37)</f>
        <v>3.0032597100682637E-2</v>
      </c>
      <c r="E37" s="16">
        <f>'Raw Data'!J37/'Raw Data'!I37</f>
        <v>0.43468626205593791</v>
      </c>
      <c r="F37" s="16">
        <f>'Raw Data'!L37/'Raw Data'!D37</f>
        <v>1.6038215369642245E-2</v>
      </c>
      <c r="G37" s="16">
        <f>'Raw Data'!L37/'Raw Data'!F37</f>
        <v>0.24495380555899865</v>
      </c>
      <c r="H37" s="16">
        <f>'Raw Data'!G37/'Raw Data'!D37</f>
        <v>5.5695387590725433E-2</v>
      </c>
      <c r="I37" s="16">
        <f>'Raw Data'!H37/'Raw Data'!D37</f>
        <v>0.40119912198410745</v>
      </c>
      <c r="J37" s="20">
        <f>LN('Raw Data'!D37)</f>
        <v>20.41922945889733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B8D2-C6A7-4121-9EC1-D9B3C9686931}">
  <dimension ref="A1:H22"/>
  <sheetViews>
    <sheetView zoomScale="74" workbookViewId="0">
      <selection activeCell="F27" sqref="F27"/>
    </sheetView>
  </sheetViews>
  <sheetFormatPr defaultRowHeight="14.5" x14ac:dyDescent="0.35"/>
  <cols>
    <col min="1" max="1" width="20.08984375" bestFit="1" customWidth="1"/>
    <col min="2" max="2" width="21.6328125" customWidth="1"/>
    <col min="3" max="3" width="18.90625" customWidth="1"/>
    <col min="6" max="6" width="18.453125" customWidth="1"/>
    <col min="7" max="7" width="22" customWidth="1"/>
    <col min="8" max="8" width="11.54296875" customWidth="1"/>
  </cols>
  <sheetData>
    <row r="1" spans="1:8" ht="15" thickBot="1" x14ac:dyDescent="0.4">
      <c r="A1" t="s">
        <v>148</v>
      </c>
      <c r="B1" s="21" t="s">
        <v>67</v>
      </c>
      <c r="C1" s="22" t="s">
        <v>70</v>
      </c>
      <c r="D1" s="21" t="s">
        <v>73</v>
      </c>
      <c r="E1" s="23" t="s">
        <v>75</v>
      </c>
      <c r="F1" s="21" t="s">
        <v>77</v>
      </c>
      <c r="G1" s="21" t="s">
        <v>146</v>
      </c>
      <c r="H1" s="24" t="s">
        <v>147</v>
      </c>
    </row>
    <row r="2" spans="1:8" x14ac:dyDescent="0.35">
      <c r="A2" t="s">
        <v>149</v>
      </c>
      <c r="B2" s="16">
        <f>AVERAGE(Ratios!D2:D37)</f>
        <v>2.4156496860853183E-2</v>
      </c>
      <c r="C2" s="16">
        <f>AVERAGE(Table5[Cost-to-Income Ratio])</f>
        <v>0.53662922465282736</v>
      </c>
      <c r="D2" s="16">
        <f>AVERAGE(Table5[ROA])</f>
        <v>1.0095177921473434E-2</v>
      </c>
      <c r="E2" s="16">
        <f>AVERAGE(Table5[ROE])</f>
        <v>0.17199933489459165</v>
      </c>
      <c r="F2" s="16">
        <f>AVERAGE(Table5[Cash-to-Assets Ratio])</f>
        <v>7.1100491269726659E-2</v>
      </c>
      <c r="G2" s="16">
        <f>AVERAGE(Table5[Financing-to-Assets Ratio])</f>
        <v>0.41783386484229074</v>
      </c>
      <c r="H2" s="20">
        <f>AVERAGE(Table5[[Bank Size ]])</f>
        <v>20.75929715375365</v>
      </c>
    </row>
    <row r="3" spans="1:8" x14ac:dyDescent="0.35">
      <c r="A3" t="s">
        <v>150</v>
      </c>
      <c r="B3" s="16">
        <f>MEDIAN(Table5[Operating Expense Ratio])</f>
        <v>2.3478652446441726E-2</v>
      </c>
      <c r="C3" s="16">
        <f>MEDIAN(Table5[Cost-to-Income Ratio])</f>
        <v>0.50787579624864776</v>
      </c>
      <c r="D3" s="16">
        <f>MEDIAN(Table5[ROA])</f>
        <v>8.9515743169426808E-3</v>
      </c>
      <c r="E3" s="16">
        <f>MEDIAN(Table5[ROE])</f>
        <v>0.15060806122439704</v>
      </c>
      <c r="F3" s="16">
        <f>MEDIAN(Table5[Cash-to-Assets Ratio])</f>
        <v>6.8535200036710431E-2</v>
      </c>
      <c r="G3" s="16">
        <f>MEDIAN(Table5[Financing-to-Assets Ratio])</f>
        <v>0.39335635083902759</v>
      </c>
      <c r="H3" s="20">
        <f>MEDIAN(Table5[[Bank Size ]])</f>
        <v>20.480011667469828</v>
      </c>
    </row>
    <row r="4" spans="1:8" x14ac:dyDescent="0.35">
      <c r="A4" t="s">
        <v>151</v>
      </c>
      <c r="B4" s="16">
        <f>_xlfn.STDEV.S(Table5[Operating Expense Ratio])</f>
        <v>6.2606770253963899E-3</v>
      </c>
      <c r="C4" s="16">
        <f>_xlfn.STDEV.S(Table5[Cost-to-Income Ratio])</f>
        <v>0.16104071452356264</v>
      </c>
      <c r="D4" s="16">
        <f>_xlfn.STDEV.S(Table5[ROA])</f>
        <v>6.1161231225251344E-3</v>
      </c>
      <c r="E4" s="16">
        <f>_xlfn.STDEV.S(Table5[ROE])</f>
        <v>0.10754884063744172</v>
      </c>
      <c r="F4" s="16">
        <f>_xlfn.STDEV.S(Table5[Cash-to-Assets Ratio])</f>
        <v>1.6907931245005257E-2</v>
      </c>
      <c r="G4" s="16">
        <f>_xlfn.STDEV.S(Table5[Financing-to-Assets Ratio])</f>
        <v>9.8233290252615596E-2</v>
      </c>
      <c r="H4" s="20">
        <f>_xlfn.STDEV.S(Table5[[Bank Size ]])</f>
        <v>0.95004387766378029</v>
      </c>
    </row>
    <row r="5" spans="1:8" x14ac:dyDescent="0.35">
      <c r="A5" t="s">
        <v>152</v>
      </c>
      <c r="B5" s="16">
        <f>MIN(Table5[Operating Expense Ratio])</f>
        <v>1.3450729683192946E-2</v>
      </c>
      <c r="C5" s="16">
        <f>MIN(Table5[Cost-to-Income Ratio])</f>
        <v>0.25167851757914939</v>
      </c>
      <c r="D5" s="16">
        <f>MIN(Table5[ROA])</f>
        <v>5.2405584361007029E-5</v>
      </c>
      <c r="E5" s="16">
        <f>MIN(Table5[ROE])</f>
        <v>1.4222948892172879E-3</v>
      </c>
      <c r="F5" s="16">
        <f>MIN(Table5[Cash-to-Assets Ratio])</f>
        <v>4.0156226462758897E-2</v>
      </c>
      <c r="G5" s="16">
        <f>MIN(Table5[Financing-to-Assets Ratio])</f>
        <v>0.27848436059241172</v>
      </c>
      <c r="H5" s="20">
        <f>MIN(Table5[[Bank Size ]])</f>
        <v>19.393875747597331</v>
      </c>
    </row>
    <row r="6" spans="1:8" x14ac:dyDescent="0.35">
      <c r="A6" t="s">
        <v>153</v>
      </c>
      <c r="B6" s="16">
        <f>MAX(Table5[Operating Expense Ratio])</f>
        <v>4.2989977281630433E-2</v>
      </c>
      <c r="C6" s="16">
        <f>MAX(Table5[Cost-to-Income Ratio])</f>
        <v>0.98360734630195279</v>
      </c>
      <c r="D6" s="16">
        <f>MAX(Table5[ROA])</f>
        <v>2.8045349227076397E-2</v>
      </c>
      <c r="E6" s="16">
        <f>MAX(Table5[ROE])</f>
        <v>0.45685347664908615</v>
      </c>
      <c r="F6" s="16">
        <f>MAX(Table5[Cash-to-Assets Ratio])</f>
        <v>0.11043583045466636</v>
      </c>
      <c r="G6" s="16">
        <f>MAX(Table5[Financing-to-Assets Ratio])</f>
        <v>0.67232000508708822</v>
      </c>
      <c r="H6" s="20">
        <f>MAX(Table5[[Bank Size ]])</f>
        <v>22.456655069550266</v>
      </c>
    </row>
    <row r="8" spans="1:8" ht="15" thickBot="1" x14ac:dyDescent="0.4">
      <c r="A8" s="26" t="s">
        <v>154</v>
      </c>
    </row>
    <row r="9" spans="1:8" ht="15" thickBot="1" x14ac:dyDescent="0.4">
      <c r="A9" t="s">
        <v>148</v>
      </c>
      <c r="B9" s="21" t="s">
        <v>67</v>
      </c>
      <c r="C9" s="22" t="s">
        <v>70</v>
      </c>
      <c r="D9" s="21" t="s">
        <v>73</v>
      </c>
      <c r="E9" s="23" t="s">
        <v>75</v>
      </c>
      <c r="F9" s="21" t="s">
        <v>77</v>
      </c>
      <c r="G9" s="21" t="s">
        <v>146</v>
      </c>
      <c r="H9" s="24" t="s">
        <v>147</v>
      </c>
    </row>
    <row r="10" spans="1:8" x14ac:dyDescent="0.35">
      <c r="A10" t="s">
        <v>149</v>
      </c>
      <c r="B10" s="16">
        <f>AVERAGE(Ratios!D20:D37)</f>
        <v>2.4142934664994072E-2</v>
      </c>
      <c r="C10" s="16">
        <f>AVERAGE(Ratios!E20:E37)</f>
        <v>0.45346951416311132</v>
      </c>
      <c r="D10" s="16">
        <f>AVERAGE(Ratios!F20:F37)</f>
        <v>1.3378462612772889E-2</v>
      </c>
      <c r="E10" s="16">
        <f>AVERAGE(Ratios!G20:G37)</f>
        <v>0.21974077681351747</v>
      </c>
      <c r="F10" s="16">
        <f>AVERAGE(Ratios!H20:H37)</f>
        <v>7.1051292201920149E-2</v>
      </c>
      <c r="G10" s="16">
        <f>AVERAGE(Ratios!I20:I37)</f>
        <v>0.459581545360355</v>
      </c>
      <c r="H10" s="20">
        <f>AVERAGE(Ratios!J20:J37)</f>
        <v>20.383473796586276</v>
      </c>
    </row>
    <row r="11" spans="1:8" x14ac:dyDescent="0.35">
      <c r="A11" t="s">
        <v>150</v>
      </c>
      <c r="B11" s="16">
        <f>MEDIAN(Ratios!D20:D37)</f>
        <v>2.3868385670448293E-2</v>
      </c>
      <c r="C11" s="16">
        <f>MEDIAN(Ratios!E20:E37)</f>
        <v>0.4430052686109297</v>
      </c>
      <c r="D11" s="16">
        <f>MEDIAN(Ratios!F20:F37)</f>
        <v>1.4076246983665892E-2</v>
      </c>
      <c r="E11" s="16">
        <f>MEDIAN(Ratios!G20:G37)</f>
        <v>0.17432065089324239</v>
      </c>
      <c r="F11" s="16">
        <f>MEDIAN(Ratios!H20:H37)</f>
        <v>6.7128314127776284E-2</v>
      </c>
      <c r="G11" s="16">
        <f>MEDIAN(Ratios!I20:I37)</f>
        <v>0.42678932743968701</v>
      </c>
      <c r="H11" s="20">
        <f>MEDIAN(Ratios!J20:J37)</f>
        <v>19.967712359216279</v>
      </c>
    </row>
    <row r="12" spans="1:8" x14ac:dyDescent="0.35">
      <c r="A12" t="s">
        <v>151</v>
      </c>
      <c r="B12" s="16">
        <f>_xlfn.STDEV.S(Ratios!D20:D37)</f>
        <v>4.2894067289904157E-3</v>
      </c>
      <c r="C12" s="16">
        <f>_xlfn.STDEV.S(Ratios!E20:E37)</f>
        <v>0.12221100419860009</v>
      </c>
      <c r="D12" s="16">
        <f>_xlfn.STDEV.S(Ratios!F20:F37)</f>
        <v>6.5245453480963604E-3</v>
      </c>
      <c r="E12" s="16">
        <f>_xlfn.STDEV.S(Ratios!G20:G37)</f>
        <v>0.12307409744644311</v>
      </c>
      <c r="F12" s="16">
        <f>_xlfn.STDEV.S(Ratios!H20:H37)</f>
        <v>1.4550646845821623E-2</v>
      </c>
      <c r="G12" s="16">
        <f>_xlfn.STDEV.S(Ratios!I20:I37)</f>
        <v>0.11111742016890591</v>
      </c>
      <c r="H12" s="20">
        <f>_xlfn.STDEV.S(Ratios!J20:J37)</f>
        <v>0.8789933440202079</v>
      </c>
    </row>
    <row r="13" spans="1:8" x14ac:dyDescent="0.35">
      <c r="A13" t="s">
        <v>152</v>
      </c>
      <c r="B13" s="16">
        <f>MIN(Ratios!D20:D37)</f>
        <v>1.794051200975184E-2</v>
      </c>
      <c r="C13" s="16">
        <f>MIN(Ratios!E20:E37)</f>
        <v>0.25167851757914939</v>
      </c>
      <c r="D13" s="16">
        <f>MIN(Ratios!F20:F37)</f>
        <v>3.8408741296527679E-3</v>
      </c>
      <c r="E13" s="16">
        <f>MIN(Ratios!G20:G37)</f>
        <v>5.5205101132535746E-2</v>
      </c>
      <c r="F13" s="16">
        <f>MIN(Ratios!H20:H37)</f>
        <v>4.5682943937629963E-2</v>
      </c>
      <c r="G13" s="16">
        <f>MIN(Ratios!I20:I37)</f>
        <v>0.31926902033836491</v>
      </c>
      <c r="H13" s="20">
        <f>MIN(Ratios!J20:J37)</f>
        <v>19.393875747597331</v>
      </c>
    </row>
    <row r="14" spans="1:8" x14ac:dyDescent="0.35">
      <c r="A14" t="s">
        <v>153</v>
      </c>
      <c r="B14" s="16">
        <f>MAX(Ratios!D20:D37)</f>
        <v>3.497448929623595E-2</v>
      </c>
      <c r="C14" s="16">
        <f>MAX(Ratios!E20:E37)</f>
        <v>0.73168002209073413</v>
      </c>
      <c r="D14" s="16">
        <f>MAX(Ratios!F20:F37)</f>
        <v>2.8045349227076397E-2</v>
      </c>
      <c r="E14" s="16">
        <f>MAX(Ratios!G20:G37)</f>
        <v>0.45685347664908615</v>
      </c>
      <c r="F14" s="16">
        <f>MAX(Ratios!H20:H37)</f>
        <v>0.10245416526229967</v>
      </c>
      <c r="G14" s="16">
        <f>MAX(Ratios!I20:I37)</f>
        <v>0.67232000508708822</v>
      </c>
      <c r="H14" s="20">
        <f>MAX(Ratios!J20:J37)</f>
        <v>22.084347853751293</v>
      </c>
    </row>
    <row r="16" spans="1:8" ht="15" thickBot="1" x14ac:dyDescent="0.4">
      <c r="A16" s="26" t="s">
        <v>155</v>
      </c>
    </row>
    <row r="17" spans="1:8" ht="15" thickBot="1" x14ac:dyDescent="0.4">
      <c r="A17" t="s">
        <v>148</v>
      </c>
      <c r="B17" s="21" t="s">
        <v>67</v>
      </c>
      <c r="C17" s="22" t="s">
        <v>70</v>
      </c>
      <c r="D17" s="21" t="s">
        <v>73</v>
      </c>
      <c r="E17" s="23" t="s">
        <v>75</v>
      </c>
      <c r="F17" s="21" t="s">
        <v>77</v>
      </c>
      <c r="G17" s="21" t="s">
        <v>146</v>
      </c>
      <c r="H17" s="24" t="s">
        <v>147</v>
      </c>
    </row>
    <row r="18" spans="1:8" x14ac:dyDescent="0.35">
      <c r="A18" t="s">
        <v>149</v>
      </c>
      <c r="B18" s="16">
        <f>AVERAGE(Ratios!D1:D19)</f>
        <v>2.4170059056712285E-2</v>
      </c>
      <c r="C18" s="16">
        <f>AVERAGE(Ratios!E1:E19)</f>
        <v>0.6197889351425433</v>
      </c>
      <c r="D18" s="16">
        <f>AVERAGE(Ratios!F1:F19)</f>
        <v>6.8118932301739748E-3</v>
      </c>
      <c r="E18" s="16">
        <f>AVERAGE(Ratios!G1:G19)</f>
        <v>0.1242578929756657</v>
      </c>
      <c r="F18" s="16">
        <f>AVERAGE(Ratios!H1:H19)</f>
        <v>7.114969033753317E-2</v>
      </c>
      <c r="G18" s="16">
        <f>AVERAGE(Ratios!I1:I19)</f>
        <v>0.37608618432422641</v>
      </c>
      <c r="H18" s="20">
        <f>AVERAGE(Ratios!J1:J19)</f>
        <v>21.135120510921027</v>
      </c>
    </row>
    <row r="19" spans="1:8" x14ac:dyDescent="0.35">
      <c r="A19" t="s">
        <v>150</v>
      </c>
      <c r="B19" s="16">
        <f>MEDIAN(Ratios!D1:D19)</f>
        <v>2.2880409482368809E-2</v>
      </c>
      <c r="C19" s="16">
        <f>MEDIAN(Ratios!E1:E19)</f>
        <v>0.57143140394277014</v>
      </c>
      <c r="D19" s="16">
        <f>MEDIAN(Ratios!F1:F19)</f>
        <v>8.0578894552604512E-3</v>
      </c>
      <c r="E19" s="16">
        <f>MEDIAN(Ratios!G1:G19)</f>
        <v>0.13137302445279564</v>
      </c>
      <c r="F19" s="16">
        <f>MEDIAN(Ratios!H1:H19)</f>
        <v>7.0203285052228157E-2</v>
      </c>
      <c r="G19" s="16">
        <f>MEDIAN(Ratios!I1:I19)</f>
        <v>0.37365334378121862</v>
      </c>
      <c r="H19" s="20">
        <f>MEDIAN(Ratios!J1:J19)</f>
        <v>21.049850725726152</v>
      </c>
    </row>
    <row r="20" spans="1:8" x14ac:dyDescent="0.35">
      <c r="A20" t="s">
        <v>151</v>
      </c>
      <c r="B20" s="16">
        <f>_xlfn.STDEV.S(Ratios!D1:D19)</f>
        <v>7.8929339043138941E-3</v>
      </c>
      <c r="C20" s="16">
        <f>_xlfn.STDEV.S(Ratios!E1:E19)</f>
        <v>0.15431643582963916</v>
      </c>
      <c r="D20" s="16">
        <f>_xlfn.STDEV.S(Ratios!F1:F19)</f>
        <v>3.408297890257244E-3</v>
      </c>
      <c r="E20" s="16">
        <f>_xlfn.STDEV.S(Ratios!G1:G19)</f>
        <v>6.196799955656819E-2</v>
      </c>
      <c r="F20" s="16">
        <f>_xlfn.STDEV.S(Ratios!H1:H19)</f>
        <v>1.9412526615299505E-2</v>
      </c>
      <c r="G20" s="16">
        <f>_xlfn.STDEV.S(Ratios!I1:I19)</f>
        <v>6.1881585234384265E-2</v>
      </c>
      <c r="H20" s="20">
        <f>_xlfn.STDEV.S(Ratios!J1:J19)</f>
        <v>0.88686376708807513</v>
      </c>
    </row>
    <row r="21" spans="1:8" x14ac:dyDescent="0.35">
      <c r="A21" t="s">
        <v>152</v>
      </c>
      <c r="B21" s="16">
        <f>MIN(Ratios!D1:D19)</f>
        <v>1.3450729683192946E-2</v>
      </c>
      <c r="C21" s="16">
        <f>MIN(Ratios!E1:E19)</f>
        <v>0.39482948519385458</v>
      </c>
      <c r="D21" s="16">
        <f>MIN(Ratios!F1:F19)</f>
        <v>5.2405584361007029E-5</v>
      </c>
      <c r="E21" s="16">
        <f>MIN(Ratios!G1:G19)</f>
        <v>1.4222948892172879E-3</v>
      </c>
      <c r="F21" s="16">
        <f>MIN(Ratios!H1:H19)</f>
        <v>4.0156226462758897E-2</v>
      </c>
      <c r="G21" s="16">
        <f>MIN(Ratios!I1:I19)</f>
        <v>0.27848436059241172</v>
      </c>
      <c r="H21" s="20">
        <f>MIN(Ratios!J1:J19)</f>
        <v>19.969151276460181</v>
      </c>
    </row>
    <row r="22" spans="1:8" x14ac:dyDescent="0.35">
      <c r="A22" t="s">
        <v>153</v>
      </c>
      <c r="B22" s="16">
        <f>MAX(Ratios!D1:D19)</f>
        <v>4.2989977281630433E-2</v>
      </c>
      <c r="C22" s="16">
        <f>MAX(Ratios!E1:E19)</f>
        <v>0.98360734630195279</v>
      </c>
      <c r="D22" s="16">
        <f>MAX(Ratios!F1:F19)</f>
        <v>1.0930332429397364E-2</v>
      </c>
      <c r="E22" s="16">
        <f>MAX(Ratios!G1:G19)</f>
        <v>0.22069642108109688</v>
      </c>
      <c r="F22" s="16">
        <f>MAX(Ratios!H1:H19)</f>
        <v>0.11043583045466636</v>
      </c>
      <c r="G22" s="16">
        <f>MAX(Ratios!I1:I19)</f>
        <v>0.5164340632557064</v>
      </c>
      <c r="H22" s="20">
        <f>MAX(Ratios!J1:J19)</f>
        <v>22.456655069550266</v>
      </c>
    </row>
  </sheetData>
  <pageMargins left="0.7" right="0.7" top="0.75" bottom="0.75" header="0.3" footer="0.3"/>
  <ignoredErrors>
    <ignoredError sqref="G3" calculatedColumn="1"/>
  </ignoredErrors>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A040-157A-4978-A833-DF491AD2B746}">
  <dimension ref="A3:G28"/>
  <sheetViews>
    <sheetView topLeftCell="A3" zoomScale="69" workbookViewId="0">
      <selection activeCell="Y10" sqref="Y10"/>
    </sheetView>
  </sheetViews>
  <sheetFormatPr defaultRowHeight="14.5" x14ac:dyDescent="0.35"/>
  <cols>
    <col min="1" max="1" width="21" bestFit="1" customWidth="1"/>
    <col min="2" max="2" width="9.08984375" bestFit="1" customWidth="1"/>
    <col min="3" max="3" width="10.1796875" bestFit="1" customWidth="1"/>
    <col min="4" max="5" width="6.90625" bestFit="1" customWidth="1"/>
    <col min="6" max="6" width="7.1796875" bestFit="1" customWidth="1"/>
    <col min="7" max="7" width="17.08984375" bestFit="1" customWidth="1"/>
    <col min="8" max="8" width="10.36328125" bestFit="1" customWidth="1"/>
  </cols>
  <sheetData>
    <row r="3" spans="1:7" x14ac:dyDescent="0.35">
      <c r="A3" s="26" t="s">
        <v>156</v>
      </c>
      <c r="B3" s="27" t="s">
        <v>157</v>
      </c>
    </row>
    <row r="4" spans="1:7" x14ac:dyDescent="0.35">
      <c r="A4" s="27" t="s">
        <v>145</v>
      </c>
      <c r="B4" t="s">
        <v>90</v>
      </c>
      <c r="C4" t="s">
        <v>143</v>
      </c>
      <c r="D4" t="s">
        <v>120</v>
      </c>
      <c r="E4" t="s">
        <v>128</v>
      </c>
      <c r="F4" t="s">
        <v>141</v>
      </c>
      <c r="G4" t="s">
        <v>171</v>
      </c>
    </row>
    <row r="5" spans="1:7" x14ac:dyDescent="0.35">
      <c r="A5" s="28">
        <v>2019</v>
      </c>
      <c r="B5" s="25">
        <v>2.1885755860103918E-2</v>
      </c>
      <c r="C5" s="25">
        <v>2.7273968995179431E-2</v>
      </c>
      <c r="D5" s="25">
        <v>2.7084614668435373E-2</v>
      </c>
      <c r="E5" s="25">
        <v>2.2940241106289474E-2</v>
      </c>
      <c r="F5" s="25">
        <v>2.2145352251739144E-2</v>
      </c>
      <c r="G5" s="25">
        <v>2.5161509118824071E-2</v>
      </c>
    </row>
    <row r="6" spans="1:7" x14ac:dyDescent="0.35">
      <c r="A6" s="28">
        <v>2020</v>
      </c>
      <c r="B6" s="25">
        <v>2.027521316303578E-2</v>
      </c>
      <c r="C6" s="25">
        <v>2.5507317635362028E-2</v>
      </c>
      <c r="D6" s="25">
        <v>2.2820577858448144E-2</v>
      </c>
      <c r="E6" s="25">
        <v>2.4464060532477839E-2</v>
      </c>
      <c r="F6" s="25">
        <v>1.8933574862200441E-2</v>
      </c>
      <c r="G6" s="25">
        <v>2.4301323736189272E-2</v>
      </c>
    </row>
    <row r="7" spans="1:7" x14ac:dyDescent="0.35">
      <c r="A7" s="28">
        <v>2021</v>
      </c>
      <c r="B7" s="25">
        <v>1.6591051691923535E-2</v>
      </c>
      <c r="C7" s="25">
        <v>2.3383554766917579E-2</v>
      </c>
      <c r="D7" s="25">
        <v>2.0764727310458427E-2</v>
      </c>
      <c r="E7" s="25">
        <v>2.1774678590736903E-2</v>
      </c>
      <c r="F7" s="25">
        <v>1.8054024879196818E-2</v>
      </c>
      <c r="G7" s="25">
        <v>2.3573750125965874E-2</v>
      </c>
    </row>
    <row r="8" spans="1:7" x14ac:dyDescent="0.35">
      <c r="A8" s="28">
        <v>2022</v>
      </c>
      <c r="B8" s="25">
        <v>1.479057011657669E-2</v>
      </c>
      <c r="C8" s="25">
        <v>2.4163021214930708E-2</v>
      </c>
      <c r="D8" s="25">
        <v>2.5366888982140189E-2</v>
      </c>
      <c r="E8" s="25">
        <v>2.7158338310141982E-2</v>
      </c>
      <c r="F8" s="25">
        <v>1.794051200975184E-2</v>
      </c>
      <c r="G8" s="25">
        <v>2.2748688767385415E-2</v>
      </c>
    </row>
    <row r="9" spans="1:7" x14ac:dyDescent="0.35">
      <c r="A9" s="28">
        <v>2023</v>
      </c>
      <c r="B9" s="25">
        <v>1.3450729683192946E-2</v>
      </c>
      <c r="C9" s="25">
        <v>2.4676282730105706E-2</v>
      </c>
      <c r="D9" s="25">
        <v>2.9286614095024831E-2</v>
      </c>
      <c r="E9" s="25">
        <v>3.9091086158000478E-2</v>
      </c>
      <c r="F9" s="25">
        <v>2.2534576429970518E-2</v>
      </c>
      <c r="G9" s="25">
        <v>2.8783353365125962E-2</v>
      </c>
    </row>
    <row r="10" spans="1:7" x14ac:dyDescent="0.35">
      <c r="A10" s="28">
        <v>2024</v>
      </c>
      <c r="B10" s="25">
        <v>1.4172613905930076E-2</v>
      </c>
      <c r="C10" s="25">
        <v>3.0032597100682637E-2</v>
      </c>
      <c r="D10" s="25">
        <v>3.0153323706274108E-2</v>
      </c>
      <c r="E10" s="25">
        <v>4.2989977281630433E-2</v>
      </c>
      <c r="F10" s="25">
        <v>2.0384926684130004E-2</v>
      </c>
      <c r="G10" s="25">
        <v>3.497448929623595E-2</v>
      </c>
    </row>
    <row r="12" spans="1:7" x14ac:dyDescent="0.35">
      <c r="A12" s="26" t="s">
        <v>158</v>
      </c>
      <c r="B12" s="27" t="s">
        <v>157</v>
      </c>
    </row>
    <row r="13" spans="1:7" x14ac:dyDescent="0.35">
      <c r="A13" s="27" t="s">
        <v>145</v>
      </c>
      <c r="B13" s="38" t="s">
        <v>90</v>
      </c>
      <c r="C13" s="35" t="s">
        <v>143</v>
      </c>
      <c r="D13" s="39" t="s">
        <v>120</v>
      </c>
      <c r="E13" s="36" t="s">
        <v>128</v>
      </c>
      <c r="F13" s="37" t="s">
        <v>141</v>
      </c>
      <c r="G13" t="s">
        <v>171</v>
      </c>
    </row>
    <row r="14" spans="1:7" x14ac:dyDescent="0.35">
      <c r="A14" s="28">
        <v>2019</v>
      </c>
      <c r="B14" s="25">
        <v>0.61731174177167314</v>
      </c>
      <c r="C14" s="25">
        <v>0.62149300825245546</v>
      </c>
      <c r="D14" s="25">
        <v>0.72945523870067697</v>
      </c>
      <c r="E14" s="25">
        <v>0.98360734630195279</v>
      </c>
      <c r="F14" s="25">
        <v>0.44451936048841911</v>
      </c>
      <c r="G14" s="25">
        <v>0.50127522530711888</v>
      </c>
    </row>
    <row r="15" spans="1:7" x14ac:dyDescent="0.35">
      <c r="A15" s="28">
        <v>2020</v>
      </c>
      <c r="B15" s="25">
        <v>0.50363359081091397</v>
      </c>
      <c r="C15" s="25">
        <v>0.60732351543297214</v>
      </c>
      <c r="D15" s="25">
        <v>0.5626153664831719</v>
      </c>
      <c r="E15" s="25">
        <v>0.79125310083210731</v>
      </c>
      <c r="F15" s="25">
        <v>0.38452028929757537</v>
      </c>
      <c r="G15" s="25">
        <v>0.51211800168638166</v>
      </c>
    </row>
    <row r="16" spans="1:7" x14ac:dyDescent="0.35">
      <c r="A16" s="28">
        <v>2021</v>
      </c>
      <c r="B16" s="25">
        <v>0.50002009364860955</v>
      </c>
      <c r="C16" s="25">
        <v>0.73168002209073413</v>
      </c>
      <c r="D16" s="25">
        <v>0.55783452896286134</v>
      </c>
      <c r="E16" s="25">
        <v>0.74965436017625864</v>
      </c>
      <c r="F16" s="25">
        <v>0.40991648434491157</v>
      </c>
      <c r="G16" s="25">
        <v>0.53271571235283965</v>
      </c>
    </row>
    <row r="17" spans="1:7" x14ac:dyDescent="0.35">
      <c r="A17" s="28">
        <v>2022</v>
      </c>
      <c r="B17" s="25">
        <v>0.43760578150818941</v>
      </c>
      <c r="C17" s="25">
        <v>0.49052375293740264</v>
      </c>
      <c r="D17" s="25">
        <v>0.58024744140236828</v>
      </c>
      <c r="E17" s="25">
        <v>0.83096545679571687</v>
      </c>
      <c r="F17" s="25">
        <v>0.32839199813156772</v>
      </c>
      <c r="G17" s="25">
        <v>0.44149117673344035</v>
      </c>
    </row>
    <row r="18" spans="1:7" x14ac:dyDescent="0.35">
      <c r="A18" s="28">
        <v>2023</v>
      </c>
      <c r="B18" s="25">
        <v>0.39482948519385458</v>
      </c>
      <c r="C18" s="25">
        <v>0.37153478100558812</v>
      </c>
      <c r="D18" s="25">
        <v>0.54937204147089647</v>
      </c>
      <c r="E18" s="25">
        <v>0.66567904936815314</v>
      </c>
      <c r="F18" s="25">
        <v>0.2731057055830825</v>
      </c>
      <c r="G18" s="25">
        <v>0.36239832474331835</v>
      </c>
    </row>
    <row r="19" spans="1:7" x14ac:dyDescent="0.35">
      <c r="A19" s="28">
        <v>2024</v>
      </c>
      <c r="B19" s="25">
        <v>0.44979999371955431</v>
      </c>
      <c r="C19" s="25">
        <v>0.43468626205593791</v>
      </c>
      <c r="D19" s="25">
        <v>0.54483537798153547</v>
      </c>
      <c r="E19" s="25">
        <v>0.70748083743728685</v>
      </c>
      <c r="F19" s="25">
        <v>0.25167851757914939</v>
      </c>
      <c r="G19" s="25">
        <v>0.46307911691310877</v>
      </c>
    </row>
    <row r="21" spans="1:7" x14ac:dyDescent="0.35">
      <c r="A21" s="26" t="s">
        <v>159</v>
      </c>
      <c r="B21" s="27" t="s">
        <v>157</v>
      </c>
    </row>
    <row r="22" spans="1:7" x14ac:dyDescent="0.35">
      <c r="A22" s="27" t="s">
        <v>145</v>
      </c>
      <c r="B22" s="38" t="s">
        <v>90</v>
      </c>
      <c r="C22" s="35" t="s">
        <v>143</v>
      </c>
      <c r="D22" s="39" t="s">
        <v>120</v>
      </c>
      <c r="E22" s="36" t="s">
        <v>128</v>
      </c>
      <c r="F22" s="37" t="s">
        <v>141</v>
      </c>
      <c r="G22" t="s">
        <v>171</v>
      </c>
    </row>
    <row r="23" spans="1:7" x14ac:dyDescent="0.35">
      <c r="A23" s="28">
        <v>2019</v>
      </c>
      <c r="B23" s="25">
        <v>8.4216929619852932E-3</v>
      </c>
      <c r="C23" s="25">
        <v>3.8408741296527679E-3</v>
      </c>
      <c r="D23" s="25">
        <v>4.9330394259816798E-3</v>
      </c>
      <c r="E23" s="25">
        <v>5.2405584361007029E-5</v>
      </c>
      <c r="F23" s="25">
        <v>1.3584804344280886E-2</v>
      </c>
      <c r="G23" s="25">
        <v>1.2642134489985886E-2</v>
      </c>
    </row>
    <row r="24" spans="1:7" x14ac:dyDescent="0.35">
      <c r="A24" s="28">
        <v>2020</v>
      </c>
      <c r="B24" s="25">
        <v>1.0881802856100423E-2</v>
      </c>
      <c r="C24" s="25">
        <v>5.0643731309432047E-3</v>
      </c>
      <c r="D24" s="25">
        <v>8.6515302039317198E-3</v>
      </c>
      <c r="E24" s="25">
        <v>2.1610828370828374E-3</v>
      </c>
      <c r="F24" s="25">
        <v>1.4567689623050901E-2</v>
      </c>
      <c r="G24" s="25">
        <v>9.5425389417934086E-3</v>
      </c>
    </row>
    <row r="25" spans="1:7" x14ac:dyDescent="0.35">
      <c r="A25" s="28">
        <v>2021</v>
      </c>
      <c r="B25" s="25">
        <v>7.7047463675184455E-3</v>
      </c>
      <c r="C25" s="25">
        <v>5.2189061728013077E-3</v>
      </c>
      <c r="D25" s="25">
        <v>8.4110325430024578E-3</v>
      </c>
      <c r="E25" s="25">
        <v>2.2324437494746392E-3</v>
      </c>
      <c r="F25" s="25">
        <v>1.4900464084746623E-2</v>
      </c>
      <c r="G25" s="25">
        <v>8.7895793215341331E-3</v>
      </c>
    </row>
    <row r="26" spans="1:7" x14ac:dyDescent="0.35">
      <c r="A26" s="28">
        <v>2022</v>
      </c>
      <c r="B26" s="25">
        <v>9.2138681471541344E-3</v>
      </c>
      <c r="C26" s="25">
        <v>9.1118198245135947E-3</v>
      </c>
      <c r="D26" s="25">
        <v>7.0875582307965432E-3</v>
      </c>
      <c r="E26" s="25">
        <v>1.5643810005596859E-3</v>
      </c>
      <c r="F26" s="25">
        <v>1.7462036728101735E-2</v>
      </c>
      <c r="G26" s="25">
        <v>8.7913288093717651E-3</v>
      </c>
    </row>
    <row r="27" spans="1:7" x14ac:dyDescent="0.35">
      <c r="A27" s="28">
        <v>2023</v>
      </c>
      <c r="B27" s="25">
        <v>1.0091619050867267E-2</v>
      </c>
      <c r="C27" s="25">
        <v>1.68661997325938E-2</v>
      </c>
      <c r="D27" s="25">
        <v>1.0930332429397364E-2</v>
      </c>
      <c r="E27" s="25">
        <v>7.3543930965539054E-3</v>
      </c>
      <c r="F27" s="25">
        <v>2.8045349227076397E-2</v>
      </c>
      <c r="G27" s="25">
        <v>1.5590018051850434E-2</v>
      </c>
    </row>
    <row r="28" spans="1:7" x14ac:dyDescent="0.35">
      <c r="A28" s="28">
        <v>2024</v>
      </c>
      <c r="B28" s="25">
        <v>8.4145405271665464E-3</v>
      </c>
      <c r="C28" s="25">
        <v>1.6038215369642245E-2</v>
      </c>
      <c r="D28" s="25">
        <v>1.0029644260656292E-2</v>
      </c>
      <c r="E28" s="25">
        <v>4.4779648705412997E-3</v>
      </c>
      <c r="F28" s="25">
        <v>2.6024825438090399E-2</v>
      </c>
      <c r="G28" s="25">
        <v>1.4731169609882562E-2</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2F414-458C-4E56-A245-D439DEF54331}">
  <dimension ref="A1:G21"/>
  <sheetViews>
    <sheetView zoomScale="70" workbookViewId="0">
      <selection activeCell="Q8" sqref="Q8"/>
    </sheetView>
  </sheetViews>
  <sheetFormatPr defaultRowHeight="14.5" x14ac:dyDescent="0.35"/>
  <cols>
    <col min="1" max="1" width="21.6328125" bestFit="1" customWidth="1"/>
    <col min="2" max="2" width="22.81640625" customWidth="1"/>
    <col min="3" max="3" width="25.7265625" customWidth="1"/>
    <col min="5" max="5" width="22.90625" customWidth="1"/>
    <col min="6" max="6" width="16.90625" bestFit="1" customWidth="1"/>
    <col min="7" max="7" width="21.54296875" customWidth="1"/>
  </cols>
  <sheetData>
    <row r="1" spans="1:7" x14ac:dyDescent="0.35">
      <c r="A1" s="26" t="s">
        <v>162</v>
      </c>
      <c r="E1" s="26" t="s">
        <v>163</v>
      </c>
    </row>
    <row r="2" spans="1:7" x14ac:dyDescent="0.35">
      <c r="A2" s="31" t="s">
        <v>2</v>
      </c>
      <c r="B2" s="32" t="s">
        <v>160</v>
      </c>
      <c r="C2" s="32" t="s">
        <v>161</v>
      </c>
      <c r="E2" s="31" t="s">
        <v>2</v>
      </c>
      <c r="F2" s="32" t="s">
        <v>160</v>
      </c>
      <c r="G2" s="32" t="s">
        <v>161</v>
      </c>
    </row>
    <row r="3" spans="1:7" x14ac:dyDescent="0.35">
      <c r="A3" s="33">
        <v>2019</v>
      </c>
      <c r="B3" s="34">
        <f>AVERAGEIFS(Ratios!$D$2:$D$37,Ratios!$B$2:$B$37,"Islamic",Ratios!$C$2:$C$37,A3)</f>
        <v>2.4860276788580882E-2</v>
      </c>
      <c r="C3" s="34">
        <f>AVERAGEIFS(Ratios!$D$2:$D$37,Ratios!$B$2:$B$37,"Conventional",Ratios!$C$2:$C$37,A3)</f>
        <v>2.3970203878276256E-2</v>
      </c>
      <c r="E3" s="33">
        <v>2019</v>
      </c>
      <c r="F3" s="34">
        <f>AVERAGEIFS(Ratios!$E$2:$E$37,Ratios!$B$2:$B$37,"Islamic",Ratios!$C$2:$C$37,E3)</f>
        <v>0.52242919801599774</v>
      </c>
      <c r="G3" s="34">
        <f>AVERAGEIFS(Ratios!$E$2:$E$37,Ratios!$B$2:$B$37,"Conventional",Ratios!$C$2:$C$37,E3)</f>
        <v>0.77679144225810093</v>
      </c>
    </row>
    <row r="4" spans="1:7" x14ac:dyDescent="0.35">
      <c r="A4" s="33">
        <v>2020</v>
      </c>
      <c r="B4" s="34">
        <f>AVERAGEIFS(Ratios!$D$2:$D$37,Ratios!$B$2:$B$37,"Islamic",Ratios!$C$2:$C$37,A4)</f>
        <v>2.2914072077917246E-2</v>
      </c>
      <c r="C4" s="34">
        <f>AVERAGEIFS(Ratios!$D$2:$D$37,Ratios!$B$2:$B$37,"Conventional",Ratios!$C$2:$C$37,A4)</f>
        <v>2.2519950517987251E-2</v>
      </c>
      <c r="E4" s="33">
        <v>2020</v>
      </c>
      <c r="F4" s="34">
        <f>AVERAGEIFS(Ratios!$E$2:$E$37,Ratios!$B$2:$B$37,"Islamic",Ratios!$C$2:$C$37,E4)</f>
        <v>0.50132060213897633</v>
      </c>
      <c r="G4" s="34">
        <f>AVERAGEIFS(Ratios!$E$2:$E$37,Ratios!$B$2:$B$37,"Conventional",Ratios!$C$2:$C$37,E4)</f>
        <v>0.61916735270873102</v>
      </c>
    </row>
    <row r="5" spans="1:7" x14ac:dyDescent="0.35">
      <c r="A5" s="33">
        <v>2021</v>
      </c>
      <c r="B5" s="34">
        <f>AVERAGEIFS(Ratios!$D$2:$D$37,Ratios!$B$2:$B$37,"Islamic",Ratios!$C$2:$C$37,A5)</f>
        <v>2.1670443257360089E-2</v>
      </c>
      <c r="C5" s="34">
        <f>AVERAGEIFS(Ratios!$D$2:$D$37,Ratios!$B$2:$B$37,"Conventional",Ratios!$C$2:$C$37,A5)</f>
        <v>1.971015253103962E-2</v>
      </c>
      <c r="E5" s="33">
        <v>2021</v>
      </c>
      <c r="F5" s="34">
        <f>AVERAGEIFS(Ratios!$E$2:$E$37,Ratios!$B$2:$B$37,"Islamic",Ratios!$C$2:$C$37,E5)</f>
        <v>0.55810407292949515</v>
      </c>
      <c r="G5" s="34">
        <f>AVERAGEIFS(Ratios!$E$2:$E$37,Ratios!$B$2:$B$37,"Conventional",Ratios!$C$2:$C$37,E5)</f>
        <v>0.60250299426257647</v>
      </c>
    </row>
    <row r="6" spans="1:7" x14ac:dyDescent="0.35">
      <c r="A6" s="33">
        <v>2022</v>
      </c>
      <c r="B6" s="34">
        <f>AVERAGEIFS(Ratios!$D$2:$D$37,Ratios!$B$2:$B$37,"Islamic",Ratios!$C$2:$C$37,A6)</f>
        <v>2.1617407330689318E-2</v>
      </c>
      <c r="C6" s="34">
        <f>AVERAGEIFS(Ratios!$D$2:$D$37,Ratios!$B$2:$B$37,"Conventional",Ratios!$C$2:$C$37,A6)</f>
        <v>2.2438599136286288E-2</v>
      </c>
      <c r="E6" s="33">
        <v>2022</v>
      </c>
      <c r="F6" s="34">
        <f>AVERAGEIFS(Ratios!$E$2:$E$37,Ratios!$B$2:$B$37,"Islamic",Ratios!$C$2:$C$37,E6)</f>
        <v>0.4201356426008036</v>
      </c>
      <c r="G6" s="34">
        <f>AVERAGEIFS(Ratios!$E$2:$E$37,Ratios!$B$2:$B$37,"Conventional",Ratios!$C$2:$C$37,E6)</f>
        <v>0.61627289323542478</v>
      </c>
    </row>
    <row r="7" spans="1:7" x14ac:dyDescent="0.35">
      <c r="A7" s="33">
        <v>2023</v>
      </c>
      <c r="B7" s="34">
        <f>AVERAGEIFS(Ratios!$D$2:$D$37,Ratios!$B$2:$B$37,"Islamic",Ratios!$C$2:$C$37,A7)</f>
        <v>2.5331404175067396E-2</v>
      </c>
      <c r="C7" s="34">
        <f>AVERAGEIFS(Ratios!$D$2:$D$37,Ratios!$B$2:$B$37,"Conventional",Ratios!$C$2:$C$37,A7)</f>
        <v>2.7276143312072749E-2</v>
      </c>
      <c r="E7" s="33">
        <v>2023</v>
      </c>
      <c r="F7" s="34">
        <f>AVERAGEIFS(Ratios!$E$2:$E$37,Ratios!$B$2:$B$37,"Islamic",Ratios!$C$2:$C$37,E7)</f>
        <v>0.33567960377732958</v>
      </c>
      <c r="G7" s="34">
        <f>AVERAGEIFS(Ratios!$E$2:$E$37,Ratios!$B$2:$B$37,"Conventional",Ratios!$C$2:$C$37,E7)</f>
        <v>0.53662685867763471</v>
      </c>
    </row>
    <row r="8" spans="1:7" x14ac:dyDescent="0.35">
      <c r="A8" s="33">
        <v>2024</v>
      </c>
      <c r="B8" s="34">
        <f>AVERAGEIFS(Ratios!$D$2:$D$37,Ratios!$B$2:$B$37,"Islamic",Ratios!$C$2:$C$37,A8)</f>
        <v>2.8464004360349529E-2</v>
      </c>
      <c r="C8" s="34">
        <f>AVERAGEIFS(Ratios!$D$2:$D$37,Ratios!$B$2:$B$37,"Conventional",Ratios!$C$2:$C$37,A8)</f>
        <v>2.9105304964611538E-2</v>
      </c>
      <c r="E8" s="33">
        <v>2024</v>
      </c>
      <c r="F8" s="34">
        <f>AVERAGEIFS(Ratios!$E$2:$E$37,Ratios!$B$2:$B$37,"Islamic",Ratios!$C$2:$C$37,E8)</f>
        <v>0.38314796551606539</v>
      </c>
      <c r="G8" s="34">
        <f>AVERAGEIFS(Ratios!$E$2:$E$37,Ratios!$B$2:$B$37,"Conventional",Ratios!$C$2:$C$37,E8)</f>
        <v>0.56737206971279219</v>
      </c>
    </row>
    <row r="14" spans="1:7" x14ac:dyDescent="0.35">
      <c r="A14" s="26" t="s">
        <v>77</v>
      </c>
    </row>
    <row r="15" spans="1:7" x14ac:dyDescent="0.35">
      <c r="A15" s="29" t="s">
        <v>2</v>
      </c>
      <c r="B15" s="30" t="s">
        <v>160</v>
      </c>
      <c r="C15" s="30" t="s">
        <v>161</v>
      </c>
    </row>
    <row r="16" spans="1:7" x14ac:dyDescent="0.35">
      <c r="A16" s="33">
        <v>2019</v>
      </c>
      <c r="B16" s="34">
        <f>AVERAGEIFS(Ratios!$H$2:$H$37,Ratios!$B$2:$B$37,"Islamic",Ratios!$C$2:$C$37,A16)</f>
        <v>6.9103630905758606E-2</v>
      </c>
      <c r="C16" s="34">
        <f>AVERAGEIFS(Ratios!$H$2:$H$37,Ratios!$B$2:$B$37,"Conventional",Ratios!$C$2:$C$37,A16)</f>
        <v>8.0163455018429863E-2</v>
      </c>
    </row>
    <row r="17" spans="1:3" x14ac:dyDescent="0.35">
      <c r="A17" s="33">
        <v>2020</v>
      </c>
      <c r="B17" s="34">
        <f>AVERAGEIFS(Ratios!$H$2:$H$37,Ratios!$B$2:$B$37,"Islamic",Ratios!$C$2:$C$37,A17)</f>
        <v>7.2677465133973926E-2</v>
      </c>
      <c r="C17" s="34">
        <f>AVERAGEIFS(Ratios!$H$2:$H$37,Ratios!$B$2:$B$37,"Conventional",Ratios!$C$2:$C$37,A17)</f>
        <v>7.5625197754396523E-2</v>
      </c>
    </row>
    <row r="18" spans="1:3" x14ac:dyDescent="0.35">
      <c r="A18" s="33">
        <v>2021</v>
      </c>
      <c r="B18" s="34">
        <f>AVERAGEIFS(Ratios!$H$2:$H$37,Ratios!$B$2:$B$37,"Islamic",Ratios!$C$2:$C$37,A18)</f>
        <v>7.4337249257655946E-2</v>
      </c>
      <c r="C18" s="34">
        <f>AVERAGEIFS(Ratios!$H$2:$H$37,Ratios!$B$2:$B$37,"Conventional",Ratios!$C$2:$C$37,A18)</f>
        <v>7.6727125282670477E-2</v>
      </c>
    </row>
    <row r="19" spans="1:3" x14ac:dyDescent="0.35">
      <c r="A19" s="33">
        <v>2022</v>
      </c>
      <c r="B19" s="34">
        <f>AVERAGEIFS(Ratios!$H$2:$H$37,Ratios!$B$2:$B$37,"Islamic",Ratios!$C$2:$C$37,A19)</f>
        <v>7.6725433008629745E-2</v>
      </c>
      <c r="C19" s="34">
        <f>AVERAGEIFS(Ratios!$H$2:$H$37,Ratios!$B$2:$B$37,"Conventional",Ratios!$C$2:$C$37,A19)</f>
        <v>4.8580710747353567E-2</v>
      </c>
    </row>
    <row r="20" spans="1:3" x14ac:dyDescent="0.35">
      <c r="A20" s="33">
        <v>2023</v>
      </c>
      <c r="B20" s="34">
        <f>AVERAGEIFS(Ratios!$H$2:$H$37,Ratios!$B$2:$B$37,"Islamic",Ratios!$C$2:$C$37,A20)</f>
        <v>7.0216959094323586E-2</v>
      </c>
      <c r="C20" s="34">
        <f>AVERAGEIFS(Ratios!$H$2:$H$37,Ratios!$B$2:$B$37,"Conventional",Ratios!$C$2:$C$37,A20)</f>
        <v>8.0623292245352404E-2</v>
      </c>
    </row>
    <row r="21" spans="1:3" x14ac:dyDescent="0.35">
      <c r="A21" s="33">
        <v>2024</v>
      </c>
      <c r="B21" s="34">
        <f>AVERAGEIFS(Ratios!$H$2:$H$37,Ratios!$B$2:$B$37,"Islamic",Ratios!$C$2:$C$37,A21)</f>
        <v>6.3247015811179016E-2</v>
      </c>
      <c r="C21" s="34">
        <f>AVERAGEIFS(Ratios!$H$2:$H$37,Ratios!$B$2:$B$37,"Conventional",Ratios!$C$2:$C$37,A21)</f>
        <v>6.5178360976996266E-2</v>
      </c>
    </row>
  </sheetData>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C6B8-E4FE-46FF-82B7-B584434BD8D3}">
  <dimension ref="A1"/>
  <sheetViews>
    <sheetView zoomScale="76" workbookViewId="0">
      <selection activeCell="P22" sqref="P22"/>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84F5-B2EA-40BC-8FD7-356C37F1127B}">
  <dimension ref="A3:G6"/>
  <sheetViews>
    <sheetView workbookViewId="0">
      <selection activeCell="D11" sqref="D11"/>
    </sheetView>
  </sheetViews>
  <sheetFormatPr defaultRowHeight="14.5" x14ac:dyDescent="0.35"/>
  <cols>
    <col min="1" max="1" width="11.54296875" bestFit="1" customWidth="1"/>
    <col min="2" max="2" width="30.453125" bestFit="1" customWidth="1"/>
    <col min="3" max="3" width="27.81640625" bestFit="1" customWidth="1"/>
    <col min="4" max="4" width="13.36328125" bestFit="1" customWidth="1"/>
    <col min="5" max="5" width="13.26953125" bestFit="1" customWidth="1"/>
    <col min="6" max="6" width="27.453125" bestFit="1" customWidth="1"/>
    <col min="7" max="7" width="31.54296875" bestFit="1" customWidth="1"/>
  </cols>
  <sheetData>
    <row r="3" spans="1:7" x14ac:dyDescent="0.35">
      <c r="A3" s="27" t="s">
        <v>144</v>
      </c>
      <c r="B3" t="s">
        <v>164</v>
      </c>
      <c r="C3" t="s">
        <v>166</v>
      </c>
      <c r="D3" t="s">
        <v>165</v>
      </c>
      <c r="E3" t="s">
        <v>167</v>
      </c>
      <c r="F3" t="s">
        <v>168</v>
      </c>
      <c r="G3" t="s">
        <v>169</v>
      </c>
    </row>
    <row r="4" spans="1:7" x14ac:dyDescent="0.35">
      <c r="A4" s="28" t="s">
        <v>91</v>
      </c>
      <c r="B4" s="25">
        <v>2.4170059056712285E-2</v>
      </c>
      <c r="C4" s="25">
        <v>0.6197889351425433</v>
      </c>
      <c r="D4" s="25">
        <v>6.8118932301739748E-3</v>
      </c>
      <c r="E4" s="25">
        <v>0.1242578929756657</v>
      </c>
      <c r="F4" s="25">
        <v>7.114969033753317E-2</v>
      </c>
      <c r="G4" s="25">
        <v>0.37608618432422641</v>
      </c>
    </row>
    <row r="5" spans="1:7" x14ac:dyDescent="0.35">
      <c r="A5" s="28" t="s">
        <v>142</v>
      </c>
      <c r="B5" s="25">
        <v>2.4142934664994072E-2</v>
      </c>
      <c r="C5" s="25">
        <v>0.45346951416311132</v>
      </c>
      <c r="D5" s="25">
        <v>1.3378462612772889E-2</v>
      </c>
      <c r="E5" s="25">
        <v>0.21974077681351747</v>
      </c>
      <c r="F5" s="25">
        <v>7.1051292201920149E-2</v>
      </c>
      <c r="G5" s="25">
        <v>0.459581545360355</v>
      </c>
    </row>
    <row r="6" spans="1:7" x14ac:dyDescent="0.35">
      <c r="A6" s="37" t="s">
        <v>170</v>
      </c>
      <c r="B6" s="16">
        <f>(GETPIVOTDATA("Average of Operating Expense Ratio",$A$3,"Bank Type","Islamic")-GETPIVOTDATA("Average of Operating Expense Ratio",$A$3,"Bank Type","Conventional"))/GETPIVOTDATA("Average of Operating Expense Ratio",$A$3,"Bank Type","Conventional")</f>
        <v>-1.1222310899021402E-3</v>
      </c>
      <c r="C6" s="16">
        <f>(GETPIVOTDATA("Average of Cost-to-Income Ratio",$A$3,"Bank Type","Islamic")-GETPIVOTDATA("Average of Cost-to-Income Ratio",$A$3,"Bank Type","Conventional"))/GETPIVOTDATA("Average of Cost-to-Income Ratio",$A$3,"Bank Type","Conventional")</f>
        <v>-0.26834848373209613</v>
      </c>
      <c r="D6" s="16">
        <f>(GETPIVOTDATA("Average of ROA",$A$3,"Bank Type","Islamic")-GETPIVOTDATA("Average of ROA",$A$3,"Bank Type","Conventional"))/GETPIVOTDATA("Average of ROA",$A$3,"Bank Type","Conventional")</f>
        <v>0.96398595232110007</v>
      </c>
      <c r="E6" s="16">
        <f>(GETPIVOTDATA("Average of ROE",$A$3,"Bank Type","Islamic")-GETPIVOTDATA("Average of ROE",$A$3,"Bank Type","Conventional"))/GETPIVOTDATA("Average of ROE",$A$3,"Bank Type","Conventional")</f>
        <v>0.76842510001799946</v>
      </c>
      <c r="F6" s="16">
        <f>(GETPIVOTDATA("Average of Cash-to-Assets Ratio",$A$3,"Bank Type","Islamic")-GETPIVOTDATA("Average of Cash-to-Assets Ratio",$A$3,"Bank Type","Conventional"))/GETPIVOTDATA("Average of Cash-to-Assets Ratio",$A$3,"Bank Type","Conventional")</f>
        <v>-1.3829734907660305E-3</v>
      </c>
      <c r="G6" s="16">
        <f>(GETPIVOTDATA("Average of Financing-to-Assets Ratio",$A$3,"Bank Type","Islamic")-GETPIVOTDATA("Average of Financing-to-Assets Ratio",$A$3,"Bank Type","Conventional"))/GETPIVOTDATA("Average of Financing-to-Assets Ratio",$A$3,"Bank Type","Conventional")</f>
        <v>0.22201124241284725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19F3D-4E16-4409-A26A-13D0A16F2CC9}">
  <dimension ref="A1:G10"/>
  <sheetViews>
    <sheetView zoomScale="78" workbookViewId="0">
      <selection activeCell="U7" sqref="U7"/>
    </sheetView>
  </sheetViews>
  <sheetFormatPr defaultRowHeight="14.5" x14ac:dyDescent="0.35"/>
  <cols>
    <col min="1" max="1" width="23.08984375" bestFit="1" customWidth="1"/>
    <col min="2" max="2" width="8.6328125" bestFit="1" customWidth="1"/>
    <col min="3" max="7" width="6.7265625" bestFit="1" customWidth="1"/>
    <col min="8" max="8" width="9.6328125" bestFit="1" customWidth="1"/>
    <col min="9" max="9" width="6" bestFit="1" customWidth="1"/>
    <col min="10" max="10" width="10.1796875" bestFit="1" customWidth="1"/>
    <col min="11" max="11" width="17.08984375" bestFit="1" customWidth="1"/>
    <col min="12" max="12" width="6.7265625" bestFit="1" customWidth="1"/>
    <col min="13" max="13" width="5.7265625" bestFit="1" customWidth="1"/>
    <col min="14" max="14" width="7.26953125" bestFit="1" customWidth="1"/>
    <col min="15" max="15" width="9.6328125" bestFit="1" customWidth="1"/>
    <col min="16" max="16" width="6" bestFit="1" customWidth="1"/>
    <col min="17" max="17" width="10.1796875" bestFit="1" customWidth="1"/>
    <col min="18" max="18" width="17.08984375" bestFit="1" customWidth="1"/>
    <col min="19" max="19" width="6.7265625" bestFit="1" customWidth="1"/>
    <col min="20" max="20" width="5.7265625" bestFit="1" customWidth="1"/>
    <col min="21" max="21" width="7.26953125" bestFit="1" customWidth="1"/>
    <col min="22" max="22" width="9.6328125" bestFit="1" customWidth="1"/>
    <col min="23" max="23" width="6" bestFit="1" customWidth="1"/>
    <col min="24" max="24" width="10.1796875" bestFit="1" customWidth="1"/>
    <col min="25" max="25" width="17.08984375" bestFit="1" customWidth="1"/>
    <col min="26" max="26" width="6.7265625" bestFit="1" customWidth="1"/>
    <col min="27" max="27" width="5.7265625" bestFit="1" customWidth="1"/>
    <col min="28" max="28" width="7.26953125" bestFit="1" customWidth="1"/>
    <col min="29" max="29" width="9.6328125" bestFit="1" customWidth="1"/>
    <col min="30" max="30" width="6" bestFit="1" customWidth="1"/>
    <col min="31" max="31" width="10.1796875" bestFit="1" customWidth="1"/>
    <col min="32" max="32" width="17.08984375" bestFit="1" customWidth="1"/>
    <col min="33" max="33" width="6.7265625" bestFit="1" customWidth="1"/>
    <col min="34" max="34" width="5.7265625" bestFit="1" customWidth="1"/>
    <col min="35" max="35" width="7.26953125" bestFit="1" customWidth="1"/>
    <col min="36" max="36" width="9.6328125" bestFit="1" customWidth="1"/>
    <col min="37" max="37" width="6" bestFit="1" customWidth="1"/>
    <col min="38" max="38" width="10.1796875" bestFit="1" customWidth="1"/>
    <col min="39" max="39" width="17.08984375" bestFit="1" customWidth="1"/>
    <col min="40" max="40" width="6.7265625" bestFit="1" customWidth="1"/>
    <col min="41" max="41" width="5.7265625" bestFit="1" customWidth="1"/>
    <col min="42" max="42" width="7.26953125" bestFit="1" customWidth="1"/>
    <col min="43" max="43" width="9.6328125" bestFit="1" customWidth="1"/>
    <col min="44" max="44" width="10.36328125" bestFit="1" customWidth="1"/>
    <col min="45" max="45" width="9.81640625" bestFit="1" customWidth="1"/>
    <col min="46" max="46" width="7.08984375" bestFit="1" customWidth="1"/>
    <col min="47" max="47" width="9.81640625" bestFit="1" customWidth="1"/>
    <col min="48" max="48" width="7.08984375" bestFit="1" customWidth="1"/>
    <col min="49" max="49" width="9.81640625" bestFit="1" customWidth="1"/>
    <col min="50" max="50" width="8.08984375" bestFit="1" customWidth="1"/>
    <col min="51" max="51" width="10.81640625" bestFit="1" customWidth="1"/>
    <col min="52" max="52" width="8.08984375" bestFit="1" customWidth="1"/>
    <col min="53" max="53" width="10.81640625" bestFit="1" customWidth="1"/>
    <col min="54" max="54" width="8.08984375" bestFit="1" customWidth="1"/>
    <col min="55" max="55" width="10.81640625" bestFit="1" customWidth="1"/>
    <col min="56" max="56" width="8.08984375" bestFit="1" customWidth="1"/>
    <col min="57" max="57" width="10.81640625" bestFit="1" customWidth="1"/>
    <col min="58" max="58" width="8.08984375" bestFit="1" customWidth="1"/>
    <col min="59" max="59" width="10.81640625" bestFit="1" customWidth="1"/>
    <col min="60" max="60" width="8.08984375" bestFit="1" customWidth="1"/>
    <col min="61" max="61" width="10.81640625" bestFit="1" customWidth="1"/>
    <col min="62" max="62" width="8.08984375" bestFit="1" customWidth="1"/>
    <col min="63" max="63" width="10.81640625" bestFit="1" customWidth="1"/>
    <col min="64" max="64" width="8.08984375" bestFit="1" customWidth="1"/>
    <col min="65" max="65" width="10.81640625" bestFit="1" customWidth="1"/>
    <col min="66" max="66" width="8.08984375" bestFit="1" customWidth="1"/>
    <col min="67" max="67" width="10.81640625" bestFit="1" customWidth="1"/>
    <col min="68" max="68" width="8.08984375" bestFit="1" customWidth="1"/>
    <col min="69" max="69" width="10.81640625" bestFit="1" customWidth="1"/>
    <col min="70" max="70" width="8.08984375" bestFit="1" customWidth="1"/>
    <col min="71" max="71" width="10.81640625" bestFit="1" customWidth="1"/>
    <col min="72" max="72" width="8.08984375" bestFit="1" customWidth="1"/>
    <col min="73" max="73" width="10.81640625" bestFit="1" customWidth="1"/>
    <col min="74" max="74" width="10.36328125" bestFit="1" customWidth="1"/>
  </cols>
  <sheetData>
    <row r="1" spans="1:7" x14ac:dyDescent="0.35">
      <c r="A1" s="27" t="s">
        <v>1</v>
      </c>
      <c r="B1" t="s">
        <v>173</v>
      </c>
    </row>
    <row r="3" spans="1:7" x14ac:dyDescent="0.35">
      <c r="A3" s="27" t="s">
        <v>172</v>
      </c>
      <c r="B3" s="27" t="s">
        <v>145</v>
      </c>
    </row>
    <row r="4" spans="1:7" x14ac:dyDescent="0.35">
      <c r="A4" s="27" t="s">
        <v>157</v>
      </c>
      <c r="B4">
        <v>2019</v>
      </c>
      <c r="C4">
        <v>2020</v>
      </c>
      <c r="D4">
        <v>2021</v>
      </c>
      <c r="E4">
        <v>2022</v>
      </c>
      <c r="F4">
        <v>2023</v>
      </c>
      <c r="G4">
        <v>2024</v>
      </c>
    </row>
    <row r="5" spans="1:7" x14ac:dyDescent="0.35">
      <c r="A5" s="28" t="s">
        <v>90</v>
      </c>
      <c r="B5" s="8">
        <v>7848</v>
      </c>
      <c r="C5" s="8">
        <v>7949</v>
      </c>
      <c r="D5" s="8">
        <v>7478</v>
      </c>
      <c r="E5" s="8">
        <v>7348</v>
      </c>
      <c r="F5" s="8">
        <v>7881</v>
      </c>
      <c r="G5" s="8">
        <v>8269</v>
      </c>
    </row>
    <row r="6" spans="1:7" x14ac:dyDescent="0.35">
      <c r="A6" s="28" t="s">
        <v>143</v>
      </c>
      <c r="B6" s="8">
        <v>3447</v>
      </c>
      <c r="C6" s="8">
        <v>3437</v>
      </c>
      <c r="D6" s="8">
        <v>4046</v>
      </c>
      <c r="E6" s="8">
        <v>4562</v>
      </c>
      <c r="F6" s="8">
        <v>5891</v>
      </c>
      <c r="G6" s="8">
        <v>7317</v>
      </c>
    </row>
    <row r="7" spans="1:7" x14ac:dyDescent="0.35">
      <c r="A7" s="28" t="s">
        <v>171</v>
      </c>
      <c r="B7" s="8">
        <v>3095</v>
      </c>
      <c r="C7" s="8">
        <v>3099</v>
      </c>
      <c r="D7" s="8">
        <v>3223</v>
      </c>
      <c r="E7" s="8">
        <v>3468</v>
      </c>
      <c r="F7" s="8">
        <v>3434</v>
      </c>
      <c r="G7" s="8">
        <v>3774</v>
      </c>
    </row>
    <row r="8" spans="1:7" x14ac:dyDescent="0.35">
      <c r="A8" s="28" t="s">
        <v>120</v>
      </c>
      <c r="B8" s="8">
        <v>17353</v>
      </c>
      <c r="C8" s="8">
        <v>16954</v>
      </c>
      <c r="D8" s="8">
        <v>17591</v>
      </c>
      <c r="E8" s="8">
        <v>17602</v>
      </c>
      <c r="F8" s="8">
        <v>16353</v>
      </c>
      <c r="G8" s="8">
        <v>16533</v>
      </c>
    </row>
    <row r="9" spans="1:7" x14ac:dyDescent="0.35">
      <c r="A9" s="28" t="s">
        <v>128</v>
      </c>
      <c r="B9" s="8">
        <v>4904</v>
      </c>
      <c r="C9" s="8">
        <v>5311</v>
      </c>
      <c r="D9" s="8">
        <v>4487</v>
      </c>
      <c r="E9" s="8">
        <v>4739</v>
      </c>
      <c r="F9" s="8">
        <v>4940</v>
      </c>
      <c r="G9" s="8">
        <v>5142</v>
      </c>
    </row>
    <row r="10" spans="1:7" x14ac:dyDescent="0.35">
      <c r="A10" s="28" t="s">
        <v>141</v>
      </c>
      <c r="B10" s="8">
        <v>11649</v>
      </c>
      <c r="C10" s="8">
        <v>12423</v>
      </c>
      <c r="D10" s="8">
        <v>14007</v>
      </c>
      <c r="E10" s="8">
        <v>15380</v>
      </c>
      <c r="F10" s="8">
        <v>17186</v>
      </c>
      <c r="G10" s="8">
        <v>18653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5293-4F00-4822-9046-CD685D3A2509}">
  <dimension ref="A1:C9"/>
  <sheetViews>
    <sheetView workbookViewId="0">
      <selection activeCell="C18" sqref="C18"/>
    </sheetView>
  </sheetViews>
  <sheetFormatPr defaultRowHeight="14.5" x14ac:dyDescent="0.35"/>
  <cols>
    <col min="1" max="1" width="26.1796875" customWidth="1"/>
    <col min="2" max="2" width="64.90625" customWidth="1"/>
    <col min="3" max="3" width="43.1796875" customWidth="1"/>
  </cols>
  <sheetData>
    <row r="1" spans="1:3" ht="15" thickBot="1" x14ac:dyDescent="0.4">
      <c r="A1" s="4" t="s">
        <v>87</v>
      </c>
      <c r="B1" s="4" t="s">
        <v>88</v>
      </c>
      <c r="C1" s="5" t="s">
        <v>89</v>
      </c>
    </row>
    <row r="2" spans="1:3" ht="15" thickBot="1" x14ac:dyDescent="0.4">
      <c r="A2" s="6" t="s">
        <v>67</v>
      </c>
      <c r="B2" s="6" t="s">
        <v>68</v>
      </c>
      <c r="C2" s="7" t="s">
        <v>69</v>
      </c>
    </row>
    <row r="3" spans="1:3" ht="15" thickBot="1" x14ac:dyDescent="0.4">
      <c r="A3" s="6" t="s">
        <v>70</v>
      </c>
      <c r="B3" s="6" t="s">
        <v>71</v>
      </c>
      <c r="C3" s="7" t="s">
        <v>72</v>
      </c>
    </row>
    <row r="4" spans="1:3" ht="15" thickBot="1" x14ac:dyDescent="0.4">
      <c r="A4" s="6" t="s">
        <v>73</v>
      </c>
      <c r="B4" s="6" t="s">
        <v>74</v>
      </c>
      <c r="C4" s="7" t="s">
        <v>69</v>
      </c>
    </row>
    <row r="5" spans="1:3" ht="15" thickBot="1" x14ac:dyDescent="0.4">
      <c r="A5" s="6" t="s">
        <v>75</v>
      </c>
      <c r="B5" s="6" t="s">
        <v>76</v>
      </c>
      <c r="C5" s="7" t="s">
        <v>69</v>
      </c>
    </row>
    <row r="6" spans="1:3" ht="15" thickBot="1" x14ac:dyDescent="0.4">
      <c r="A6" s="6" t="s">
        <v>77</v>
      </c>
      <c r="B6" s="6" t="s">
        <v>78</v>
      </c>
      <c r="C6" s="7" t="s">
        <v>79</v>
      </c>
    </row>
    <row r="7" spans="1:3" ht="15" thickBot="1" x14ac:dyDescent="0.4">
      <c r="A7" s="6" t="s">
        <v>80</v>
      </c>
      <c r="B7" s="6" t="s">
        <v>81</v>
      </c>
      <c r="C7" s="7" t="s">
        <v>79</v>
      </c>
    </row>
    <row r="8" spans="1:3" ht="15" thickBot="1" x14ac:dyDescent="0.4">
      <c r="A8" s="6" t="s">
        <v>82</v>
      </c>
      <c r="B8" s="6" t="s">
        <v>83</v>
      </c>
      <c r="C8" s="7" t="s">
        <v>84</v>
      </c>
    </row>
    <row r="9" spans="1:3" ht="15" thickBot="1" x14ac:dyDescent="0.4">
      <c r="A9" s="6" t="s">
        <v>85</v>
      </c>
      <c r="B9" s="6" t="s">
        <v>86</v>
      </c>
      <c r="C9" s="7" t="s">
        <v>79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D82C-3EC3-405B-86EA-A72A8A5A2C51}">
  <dimension ref="A1:F9"/>
  <sheetViews>
    <sheetView zoomScale="51" workbookViewId="0">
      <selection activeCell="G4" sqref="G4"/>
    </sheetView>
  </sheetViews>
  <sheetFormatPr defaultRowHeight="14.5" x14ac:dyDescent="0.35"/>
  <cols>
    <col min="1" max="1" width="23.36328125" customWidth="1"/>
    <col min="2" max="2" width="21.1796875" customWidth="1"/>
    <col min="3" max="3" width="17.81640625" customWidth="1"/>
    <col min="4" max="4" width="24.08984375" customWidth="1"/>
    <col min="5" max="5" width="31.08984375" customWidth="1"/>
    <col min="6" max="6" width="28.90625" customWidth="1"/>
  </cols>
  <sheetData>
    <row r="1" spans="1:6" x14ac:dyDescent="0.35">
      <c r="A1" s="1" t="s">
        <v>4</v>
      </c>
      <c r="B1" s="1" t="s">
        <v>5</v>
      </c>
      <c r="C1" s="1" t="s">
        <v>6</v>
      </c>
      <c r="D1" s="1" t="s">
        <v>7</v>
      </c>
      <c r="E1" s="1" t="s">
        <v>8</v>
      </c>
      <c r="F1" s="1" t="s">
        <v>9</v>
      </c>
    </row>
    <row r="2" spans="1:6" ht="72.5" x14ac:dyDescent="0.35">
      <c r="A2" s="3" t="s">
        <v>10</v>
      </c>
      <c r="B2" s="3" t="s">
        <v>11</v>
      </c>
      <c r="C2" s="3" t="s">
        <v>12</v>
      </c>
      <c r="D2" s="3" t="s">
        <v>13</v>
      </c>
      <c r="E2" s="3" t="s">
        <v>57</v>
      </c>
      <c r="F2" s="3" t="s">
        <v>14</v>
      </c>
    </row>
    <row r="3" spans="1:6" ht="72.5" x14ac:dyDescent="0.35">
      <c r="A3" s="3" t="s">
        <v>15</v>
      </c>
      <c r="B3" s="3" t="s">
        <v>16</v>
      </c>
      <c r="C3" s="3" t="s">
        <v>17</v>
      </c>
      <c r="D3" s="3" t="s">
        <v>18</v>
      </c>
      <c r="E3" s="3" t="s">
        <v>19</v>
      </c>
      <c r="F3" s="3" t="s">
        <v>20</v>
      </c>
    </row>
    <row r="4" spans="1:6" ht="87" x14ac:dyDescent="0.35">
      <c r="A4" s="3" t="s">
        <v>21</v>
      </c>
      <c r="B4" s="3" t="s">
        <v>22</v>
      </c>
      <c r="C4" s="3" t="s">
        <v>23</v>
      </c>
      <c r="D4" s="3" t="s">
        <v>24</v>
      </c>
      <c r="E4" s="3" t="s">
        <v>25</v>
      </c>
      <c r="F4" s="3" t="s">
        <v>26</v>
      </c>
    </row>
    <row r="5" spans="1:6" ht="87" x14ac:dyDescent="0.35">
      <c r="A5" s="3" t="s">
        <v>27</v>
      </c>
      <c r="B5" s="3" t="s">
        <v>28</v>
      </c>
      <c r="C5" s="3" t="s">
        <v>29</v>
      </c>
      <c r="D5" s="3" t="s">
        <v>30</v>
      </c>
      <c r="E5" s="3" t="s">
        <v>31</v>
      </c>
      <c r="F5" s="3" t="s">
        <v>32</v>
      </c>
    </row>
    <row r="6" spans="1:6" ht="87" x14ac:dyDescent="0.35">
      <c r="A6" s="3" t="s">
        <v>33</v>
      </c>
      <c r="B6" s="3" t="s">
        <v>34</v>
      </c>
      <c r="C6" s="3" t="s">
        <v>35</v>
      </c>
      <c r="D6" s="3" t="s">
        <v>36</v>
      </c>
      <c r="E6" s="3" t="s">
        <v>37</v>
      </c>
      <c r="F6" s="3" t="s">
        <v>38</v>
      </c>
    </row>
    <row r="7" spans="1:6" ht="87" x14ac:dyDescent="0.35">
      <c r="A7" s="3" t="s">
        <v>39</v>
      </c>
      <c r="B7" s="3" t="s">
        <v>40</v>
      </c>
      <c r="C7" s="3" t="s">
        <v>41</v>
      </c>
      <c r="D7" s="3" t="s">
        <v>42</v>
      </c>
      <c r="E7" s="3" t="s">
        <v>43</v>
      </c>
      <c r="F7" s="3" t="s">
        <v>44</v>
      </c>
    </row>
    <row r="8" spans="1:6" ht="87" x14ac:dyDescent="0.35">
      <c r="A8" s="3" t="s">
        <v>45</v>
      </c>
      <c r="B8" s="3" t="s">
        <v>46</v>
      </c>
      <c r="C8" s="3" t="s">
        <v>47</v>
      </c>
      <c r="D8" s="3" t="s">
        <v>48</v>
      </c>
      <c r="E8" s="3" t="s">
        <v>49</v>
      </c>
      <c r="F8" s="3" t="s">
        <v>50</v>
      </c>
    </row>
    <row r="9" spans="1:6" ht="101.5" x14ac:dyDescent="0.35">
      <c r="A9" s="3" t="s">
        <v>51</v>
      </c>
      <c r="B9" s="3" t="s">
        <v>52</v>
      </c>
      <c r="C9" s="3" t="s">
        <v>53</v>
      </c>
      <c r="D9" s="3" t="s">
        <v>54</v>
      </c>
      <c r="E9" s="3" t="s">
        <v>55</v>
      </c>
      <c r="F9" s="3" t="s">
        <v>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8283-9C5C-45E1-92E8-830D72F011F6}">
  <dimension ref="A1:E122"/>
  <sheetViews>
    <sheetView topLeftCell="A92" zoomScale="77" workbookViewId="0">
      <selection activeCell="D125" sqref="D125"/>
    </sheetView>
  </sheetViews>
  <sheetFormatPr defaultRowHeight="14.5" x14ac:dyDescent="0.35"/>
  <cols>
    <col min="1" max="1" width="14.6328125" bestFit="1" customWidth="1"/>
    <col min="2" max="2" width="17" bestFit="1" customWidth="1"/>
    <col min="4" max="4" width="34.7265625" bestFit="1" customWidth="1"/>
    <col min="5" max="5" width="48.26953125" bestFit="1" customWidth="1"/>
  </cols>
  <sheetData>
    <row r="1" spans="1:5" x14ac:dyDescent="0.35">
      <c r="A1" s="9" t="s">
        <v>107</v>
      </c>
      <c r="B1" s="9" t="s">
        <v>92</v>
      </c>
      <c r="C1" s="9" t="s">
        <v>108</v>
      </c>
      <c r="D1" s="9" t="s">
        <v>109</v>
      </c>
      <c r="E1" s="9" t="s">
        <v>93</v>
      </c>
    </row>
    <row r="2" spans="1:5" x14ac:dyDescent="0.35">
      <c r="A2" s="10" t="s">
        <v>110</v>
      </c>
      <c r="B2" t="s">
        <v>59</v>
      </c>
      <c r="C2">
        <v>47</v>
      </c>
      <c r="D2" t="s">
        <v>94</v>
      </c>
      <c r="E2" t="s">
        <v>95</v>
      </c>
    </row>
    <row r="3" spans="1:5" x14ac:dyDescent="0.35">
      <c r="A3" s="10" t="s">
        <v>110</v>
      </c>
      <c r="B3" t="s">
        <v>60</v>
      </c>
      <c r="C3">
        <v>47</v>
      </c>
      <c r="D3" t="s">
        <v>96</v>
      </c>
      <c r="E3" t="s">
        <v>95</v>
      </c>
    </row>
    <row r="4" spans="1:5" x14ac:dyDescent="0.35">
      <c r="A4" s="10" t="s">
        <v>110</v>
      </c>
      <c r="B4" t="s">
        <v>61</v>
      </c>
      <c r="C4">
        <v>47</v>
      </c>
      <c r="D4" t="s">
        <v>111</v>
      </c>
      <c r="E4" t="s">
        <v>95</v>
      </c>
    </row>
    <row r="5" spans="1:5" x14ac:dyDescent="0.35">
      <c r="A5" s="10" t="s">
        <v>110</v>
      </c>
      <c r="B5" t="s">
        <v>3</v>
      </c>
      <c r="C5">
        <v>47</v>
      </c>
      <c r="D5" t="s">
        <v>97</v>
      </c>
      <c r="E5" t="s">
        <v>95</v>
      </c>
    </row>
    <row r="6" spans="1:5" x14ac:dyDescent="0.35">
      <c r="A6" s="10" t="s">
        <v>110</v>
      </c>
      <c r="B6" t="s">
        <v>62</v>
      </c>
      <c r="C6">
        <v>47</v>
      </c>
      <c r="D6" t="s">
        <v>98</v>
      </c>
      <c r="E6" t="s">
        <v>95</v>
      </c>
    </row>
    <row r="7" spans="1:5" x14ac:dyDescent="0.35">
      <c r="A7" s="10" t="s">
        <v>110</v>
      </c>
      <c r="B7" t="s">
        <v>63</v>
      </c>
      <c r="C7">
        <v>48</v>
      </c>
      <c r="D7" t="s">
        <v>99</v>
      </c>
      <c r="E7" t="s">
        <v>100</v>
      </c>
    </row>
    <row r="8" spans="1:5" x14ac:dyDescent="0.35">
      <c r="A8" s="10" t="s">
        <v>110</v>
      </c>
      <c r="B8" t="s">
        <v>64</v>
      </c>
      <c r="C8">
        <v>48</v>
      </c>
      <c r="D8" t="s">
        <v>101</v>
      </c>
      <c r="E8" t="s">
        <v>100</v>
      </c>
    </row>
    <row r="9" spans="1:5" x14ac:dyDescent="0.35">
      <c r="A9" s="10" t="s">
        <v>110</v>
      </c>
      <c r="B9" t="s">
        <v>65</v>
      </c>
      <c r="C9">
        <v>87</v>
      </c>
      <c r="D9" t="s">
        <v>102</v>
      </c>
      <c r="E9" t="s">
        <v>103</v>
      </c>
    </row>
    <row r="10" spans="1:5" x14ac:dyDescent="0.35">
      <c r="A10" s="10" t="s">
        <v>110</v>
      </c>
      <c r="B10" t="s">
        <v>66</v>
      </c>
      <c r="C10">
        <v>48</v>
      </c>
      <c r="D10" t="s">
        <v>104</v>
      </c>
      <c r="E10" t="s">
        <v>100</v>
      </c>
    </row>
    <row r="11" spans="1:5" x14ac:dyDescent="0.35">
      <c r="A11" s="10" t="s">
        <v>110</v>
      </c>
      <c r="B11" t="s">
        <v>58</v>
      </c>
      <c r="C11">
        <v>22</v>
      </c>
      <c r="D11" t="s">
        <v>105</v>
      </c>
      <c r="E11" t="s">
        <v>106</v>
      </c>
    </row>
    <row r="12" spans="1:5" x14ac:dyDescent="0.35">
      <c r="A12" s="11" t="s">
        <v>112</v>
      </c>
      <c r="B12" t="s">
        <v>59</v>
      </c>
      <c r="C12">
        <v>53</v>
      </c>
      <c r="D12" t="s">
        <v>94</v>
      </c>
      <c r="E12" t="s">
        <v>95</v>
      </c>
    </row>
    <row r="13" spans="1:5" x14ac:dyDescent="0.35">
      <c r="A13" s="11" t="s">
        <v>112</v>
      </c>
      <c r="B13" t="s">
        <v>60</v>
      </c>
      <c r="C13">
        <v>53</v>
      </c>
      <c r="D13" t="s">
        <v>96</v>
      </c>
      <c r="E13" t="s">
        <v>95</v>
      </c>
    </row>
    <row r="14" spans="1:5" x14ac:dyDescent="0.35">
      <c r="A14" s="11" t="s">
        <v>112</v>
      </c>
      <c r="B14" t="s">
        <v>61</v>
      </c>
      <c r="C14">
        <v>53</v>
      </c>
      <c r="D14" t="s">
        <v>113</v>
      </c>
      <c r="E14" t="s">
        <v>95</v>
      </c>
    </row>
    <row r="15" spans="1:5" x14ac:dyDescent="0.35">
      <c r="A15" s="11" t="s">
        <v>112</v>
      </c>
      <c r="B15" t="s">
        <v>3</v>
      </c>
      <c r="C15">
        <v>53</v>
      </c>
      <c r="D15" t="s">
        <v>97</v>
      </c>
      <c r="E15" t="s">
        <v>95</v>
      </c>
    </row>
    <row r="16" spans="1:5" x14ac:dyDescent="0.35">
      <c r="A16" s="11" t="s">
        <v>112</v>
      </c>
      <c r="B16" t="s">
        <v>62</v>
      </c>
      <c r="C16">
        <v>53</v>
      </c>
      <c r="D16" t="s">
        <v>98</v>
      </c>
      <c r="E16" t="s">
        <v>95</v>
      </c>
    </row>
    <row r="17" spans="1:5" x14ac:dyDescent="0.35">
      <c r="A17" s="11" t="s">
        <v>112</v>
      </c>
      <c r="B17" t="s">
        <v>63</v>
      </c>
      <c r="C17">
        <v>54</v>
      </c>
      <c r="D17" t="s">
        <v>99</v>
      </c>
      <c r="E17" t="s">
        <v>100</v>
      </c>
    </row>
    <row r="18" spans="1:5" x14ac:dyDescent="0.35">
      <c r="A18" s="11" t="s">
        <v>112</v>
      </c>
      <c r="B18" t="s">
        <v>64</v>
      </c>
      <c r="C18">
        <v>54</v>
      </c>
      <c r="D18" t="s">
        <v>101</v>
      </c>
      <c r="E18" t="s">
        <v>100</v>
      </c>
    </row>
    <row r="19" spans="1:5" x14ac:dyDescent="0.35">
      <c r="A19" s="11" t="s">
        <v>112</v>
      </c>
      <c r="B19" t="s">
        <v>65</v>
      </c>
      <c r="C19">
        <v>93</v>
      </c>
      <c r="D19" t="s">
        <v>114</v>
      </c>
      <c r="E19" t="s">
        <v>103</v>
      </c>
    </row>
    <row r="20" spans="1:5" x14ac:dyDescent="0.35">
      <c r="A20" s="11" t="s">
        <v>112</v>
      </c>
      <c r="B20" t="s">
        <v>66</v>
      </c>
      <c r="C20">
        <v>54</v>
      </c>
      <c r="D20" t="s">
        <v>104</v>
      </c>
      <c r="E20" t="s">
        <v>100</v>
      </c>
    </row>
    <row r="21" spans="1:5" x14ac:dyDescent="0.35">
      <c r="A21" s="11" t="s">
        <v>112</v>
      </c>
      <c r="B21" t="s">
        <v>58</v>
      </c>
      <c r="C21">
        <v>25</v>
      </c>
      <c r="D21" t="s">
        <v>115</v>
      </c>
      <c r="E21" t="s">
        <v>116</v>
      </c>
    </row>
    <row r="22" spans="1:5" x14ac:dyDescent="0.35">
      <c r="A22" s="10" t="s">
        <v>118</v>
      </c>
      <c r="B22" t="s">
        <v>59</v>
      </c>
      <c r="C22">
        <v>55</v>
      </c>
      <c r="D22" t="s">
        <v>94</v>
      </c>
      <c r="E22" t="s">
        <v>95</v>
      </c>
    </row>
    <row r="23" spans="1:5" x14ac:dyDescent="0.35">
      <c r="A23" s="10" t="s">
        <v>118</v>
      </c>
      <c r="B23" t="s">
        <v>60</v>
      </c>
      <c r="C23">
        <v>55</v>
      </c>
      <c r="D23" t="s">
        <v>96</v>
      </c>
      <c r="E23" t="s">
        <v>95</v>
      </c>
    </row>
    <row r="24" spans="1:5" x14ac:dyDescent="0.35">
      <c r="A24" s="10" t="s">
        <v>118</v>
      </c>
      <c r="B24" t="s">
        <v>61</v>
      </c>
      <c r="C24">
        <v>55</v>
      </c>
      <c r="D24" t="s">
        <v>113</v>
      </c>
      <c r="E24" t="s">
        <v>95</v>
      </c>
    </row>
    <row r="25" spans="1:5" x14ac:dyDescent="0.35">
      <c r="A25" s="10" t="s">
        <v>118</v>
      </c>
      <c r="B25" t="s">
        <v>3</v>
      </c>
      <c r="C25">
        <v>55</v>
      </c>
      <c r="D25" t="s">
        <v>97</v>
      </c>
      <c r="E25" t="s">
        <v>95</v>
      </c>
    </row>
    <row r="26" spans="1:5" x14ac:dyDescent="0.35">
      <c r="A26" s="10" t="s">
        <v>118</v>
      </c>
      <c r="B26" t="s">
        <v>62</v>
      </c>
      <c r="C26">
        <v>55</v>
      </c>
      <c r="D26" t="s">
        <v>98</v>
      </c>
      <c r="E26" t="s">
        <v>95</v>
      </c>
    </row>
    <row r="27" spans="1:5" x14ac:dyDescent="0.35">
      <c r="A27" s="10" t="s">
        <v>118</v>
      </c>
      <c r="B27" t="s">
        <v>63</v>
      </c>
      <c r="C27">
        <v>56</v>
      </c>
      <c r="D27" t="s">
        <v>99</v>
      </c>
      <c r="E27" t="s">
        <v>100</v>
      </c>
    </row>
    <row r="28" spans="1:5" x14ac:dyDescent="0.35">
      <c r="A28" s="10" t="s">
        <v>118</v>
      </c>
      <c r="B28" t="s">
        <v>64</v>
      </c>
      <c r="C28">
        <v>56</v>
      </c>
      <c r="D28" t="s">
        <v>101</v>
      </c>
      <c r="E28" t="s">
        <v>100</v>
      </c>
    </row>
    <row r="29" spans="1:5" x14ac:dyDescent="0.35">
      <c r="A29" s="10" t="s">
        <v>118</v>
      </c>
      <c r="B29" t="s">
        <v>65</v>
      </c>
      <c r="C29">
        <v>95</v>
      </c>
      <c r="D29" t="s">
        <v>114</v>
      </c>
      <c r="E29" t="s">
        <v>103</v>
      </c>
    </row>
    <row r="30" spans="1:5" x14ac:dyDescent="0.35">
      <c r="A30" s="10" t="s">
        <v>118</v>
      </c>
      <c r="B30" t="s">
        <v>66</v>
      </c>
      <c r="C30">
        <v>56</v>
      </c>
      <c r="D30" t="s">
        <v>104</v>
      </c>
      <c r="E30" t="s">
        <v>100</v>
      </c>
    </row>
    <row r="31" spans="1:5" x14ac:dyDescent="0.35">
      <c r="A31" s="10" t="s">
        <v>118</v>
      </c>
      <c r="B31" t="s">
        <v>58</v>
      </c>
      <c r="C31">
        <v>28</v>
      </c>
      <c r="D31" t="s">
        <v>119</v>
      </c>
      <c r="E31" t="s">
        <v>116</v>
      </c>
    </row>
    <row r="32" spans="1:5" x14ac:dyDescent="0.35">
      <c r="A32" s="11" t="s">
        <v>121</v>
      </c>
      <c r="B32" t="s">
        <v>59</v>
      </c>
      <c r="C32">
        <v>67</v>
      </c>
      <c r="D32" t="s">
        <v>94</v>
      </c>
      <c r="E32" t="s">
        <v>95</v>
      </c>
    </row>
    <row r="33" spans="1:5" x14ac:dyDescent="0.35">
      <c r="A33" s="11" t="s">
        <v>121</v>
      </c>
      <c r="B33" t="s">
        <v>60</v>
      </c>
      <c r="C33">
        <v>67</v>
      </c>
      <c r="D33" t="s">
        <v>96</v>
      </c>
      <c r="E33" t="s">
        <v>95</v>
      </c>
    </row>
    <row r="34" spans="1:5" x14ac:dyDescent="0.35">
      <c r="A34" s="11" t="s">
        <v>121</v>
      </c>
      <c r="B34" t="s">
        <v>61</v>
      </c>
      <c r="C34">
        <v>67</v>
      </c>
      <c r="D34" t="s">
        <v>113</v>
      </c>
      <c r="E34" t="s">
        <v>95</v>
      </c>
    </row>
    <row r="35" spans="1:5" x14ac:dyDescent="0.35">
      <c r="A35" s="11" t="s">
        <v>121</v>
      </c>
      <c r="B35" t="s">
        <v>3</v>
      </c>
      <c r="C35">
        <v>67</v>
      </c>
      <c r="D35" t="s">
        <v>97</v>
      </c>
      <c r="E35" t="s">
        <v>95</v>
      </c>
    </row>
    <row r="36" spans="1:5" x14ac:dyDescent="0.35">
      <c r="A36" s="11" t="s">
        <v>121</v>
      </c>
      <c r="B36" t="s">
        <v>62</v>
      </c>
      <c r="C36">
        <v>67</v>
      </c>
      <c r="D36" t="s">
        <v>98</v>
      </c>
      <c r="E36" t="s">
        <v>95</v>
      </c>
    </row>
    <row r="37" spans="1:5" x14ac:dyDescent="0.35">
      <c r="A37" s="11" t="s">
        <v>121</v>
      </c>
      <c r="B37" t="s">
        <v>63</v>
      </c>
      <c r="C37">
        <v>68</v>
      </c>
      <c r="D37" t="s">
        <v>99</v>
      </c>
      <c r="E37" t="s">
        <v>100</v>
      </c>
    </row>
    <row r="38" spans="1:5" x14ac:dyDescent="0.35">
      <c r="A38" s="11" t="s">
        <v>121</v>
      </c>
      <c r="B38" t="s">
        <v>64</v>
      </c>
      <c r="C38">
        <v>68</v>
      </c>
      <c r="D38" t="s">
        <v>101</v>
      </c>
      <c r="E38" t="s">
        <v>100</v>
      </c>
    </row>
    <row r="39" spans="1:5" x14ac:dyDescent="0.35">
      <c r="A39" s="11" t="s">
        <v>121</v>
      </c>
      <c r="B39" t="s">
        <v>65</v>
      </c>
      <c r="C39">
        <v>113</v>
      </c>
      <c r="D39" t="s">
        <v>114</v>
      </c>
      <c r="E39" t="s">
        <v>103</v>
      </c>
    </row>
    <row r="40" spans="1:5" x14ac:dyDescent="0.35">
      <c r="A40" s="11" t="s">
        <v>121</v>
      </c>
      <c r="B40" t="s">
        <v>66</v>
      </c>
      <c r="C40">
        <v>68</v>
      </c>
      <c r="D40" t="s">
        <v>104</v>
      </c>
      <c r="E40" t="s">
        <v>100</v>
      </c>
    </row>
    <row r="41" spans="1:5" x14ac:dyDescent="0.35">
      <c r="A41" s="11" t="s">
        <v>121</v>
      </c>
      <c r="B41" t="s">
        <v>58</v>
      </c>
      <c r="C41">
        <v>42</v>
      </c>
      <c r="D41" t="s">
        <v>122</v>
      </c>
      <c r="E41" t="s">
        <v>116</v>
      </c>
    </row>
    <row r="42" spans="1:5" x14ac:dyDescent="0.35">
      <c r="A42" s="10" t="s">
        <v>123</v>
      </c>
      <c r="B42" t="s">
        <v>59</v>
      </c>
      <c r="C42">
        <v>71</v>
      </c>
      <c r="D42" t="s">
        <v>94</v>
      </c>
      <c r="E42" t="s">
        <v>95</v>
      </c>
    </row>
    <row r="43" spans="1:5" x14ac:dyDescent="0.35">
      <c r="A43" s="10" t="s">
        <v>123</v>
      </c>
      <c r="B43" t="s">
        <v>60</v>
      </c>
      <c r="C43">
        <v>71</v>
      </c>
      <c r="D43" t="s">
        <v>96</v>
      </c>
      <c r="E43" t="s">
        <v>95</v>
      </c>
    </row>
    <row r="44" spans="1:5" x14ac:dyDescent="0.35">
      <c r="A44" s="10" t="s">
        <v>123</v>
      </c>
      <c r="B44" t="s">
        <v>61</v>
      </c>
      <c r="C44">
        <v>71</v>
      </c>
      <c r="D44" t="s">
        <v>113</v>
      </c>
      <c r="E44" t="s">
        <v>95</v>
      </c>
    </row>
    <row r="45" spans="1:5" x14ac:dyDescent="0.35">
      <c r="A45" s="10" t="s">
        <v>123</v>
      </c>
      <c r="B45" t="s">
        <v>3</v>
      </c>
      <c r="C45">
        <v>71</v>
      </c>
      <c r="D45" t="s">
        <v>97</v>
      </c>
      <c r="E45" t="s">
        <v>95</v>
      </c>
    </row>
    <row r="46" spans="1:5" x14ac:dyDescent="0.35">
      <c r="A46" s="10" t="s">
        <v>123</v>
      </c>
      <c r="B46" t="s">
        <v>62</v>
      </c>
      <c r="C46">
        <v>71</v>
      </c>
      <c r="D46" t="s">
        <v>98</v>
      </c>
      <c r="E46" t="s">
        <v>95</v>
      </c>
    </row>
    <row r="47" spans="1:5" x14ac:dyDescent="0.35">
      <c r="A47" s="10" t="s">
        <v>123</v>
      </c>
      <c r="B47" t="s">
        <v>63</v>
      </c>
      <c r="C47">
        <v>72</v>
      </c>
      <c r="D47" t="s">
        <v>99</v>
      </c>
      <c r="E47" t="s">
        <v>100</v>
      </c>
    </row>
    <row r="48" spans="1:5" x14ac:dyDescent="0.35">
      <c r="A48" s="10" t="s">
        <v>123</v>
      </c>
      <c r="B48" t="s">
        <v>64</v>
      </c>
      <c r="C48">
        <v>72</v>
      </c>
      <c r="D48" t="s">
        <v>101</v>
      </c>
      <c r="E48" t="s">
        <v>100</v>
      </c>
    </row>
    <row r="49" spans="1:5" x14ac:dyDescent="0.35">
      <c r="A49" s="10" t="s">
        <v>123</v>
      </c>
      <c r="B49" t="s">
        <v>65</v>
      </c>
      <c r="C49">
        <v>117</v>
      </c>
      <c r="D49" t="s">
        <v>102</v>
      </c>
      <c r="E49" t="s">
        <v>103</v>
      </c>
    </row>
    <row r="50" spans="1:5" x14ac:dyDescent="0.35">
      <c r="A50" s="10" t="s">
        <v>123</v>
      </c>
      <c r="B50" t="s">
        <v>66</v>
      </c>
      <c r="C50">
        <v>72</v>
      </c>
      <c r="D50" t="s">
        <v>104</v>
      </c>
      <c r="E50" t="s">
        <v>100</v>
      </c>
    </row>
    <row r="51" spans="1:5" x14ac:dyDescent="0.35">
      <c r="A51" s="10" t="s">
        <v>123</v>
      </c>
      <c r="B51" t="s">
        <v>58</v>
      </c>
      <c r="C51">
        <v>44</v>
      </c>
      <c r="D51" t="s">
        <v>124</v>
      </c>
      <c r="E51" t="s">
        <v>116</v>
      </c>
    </row>
    <row r="52" spans="1:5" x14ac:dyDescent="0.35">
      <c r="A52" s="11" t="s">
        <v>125</v>
      </c>
      <c r="B52" t="s">
        <v>59</v>
      </c>
      <c r="C52">
        <v>67</v>
      </c>
      <c r="D52" t="s">
        <v>126</v>
      </c>
      <c r="E52" t="s">
        <v>95</v>
      </c>
    </row>
    <row r="53" spans="1:5" x14ac:dyDescent="0.35">
      <c r="A53" s="11" t="s">
        <v>125</v>
      </c>
      <c r="B53" t="s">
        <v>60</v>
      </c>
      <c r="C53">
        <v>67</v>
      </c>
      <c r="D53" t="s">
        <v>96</v>
      </c>
      <c r="E53" t="s">
        <v>95</v>
      </c>
    </row>
    <row r="54" spans="1:5" x14ac:dyDescent="0.35">
      <c r="A54" s="11" t="s">
        <v>125</v>
      </c>
      <c r="B54" t="s">
        <v>61</v>
      </c>
      <c r="C54">
        <v>67</v>
      </c>
      <c r="D54" t="s">
        <v>113</v>
      </c>
      <c r="E54" t="s">
        <v>95</v>
      </c>
    </row>
    <row r="55" spans="1:5" x14ac:dyDescent="0.35">
      <c r="A55" s="11" t="s">
        <v>125</v>
      </c>
      <c r="B55" t="s">
        <v>3</v>
      </c>
      <c r="C55">
        <v>67</v>
      </c>
      <c r="D55" t="s">
        <v>97</v>
      </c>
      <c r="E55" t="s">
        <v>95</v>
      </c>
    </row>
    <row r="56" spans="1:5" x14ac:dyDescent="0.35">
      <c r="A56" s="11" t="s">
        <v>125</v>
      </c>
      <c r="B56" t="s">
        <v>62</v>
      </c>
      <c r="C56">
        <v>67</v>
      </c>
      <c r="D56" t="s">
        <v>98</v>
      </c>
      <c r="E56" t="s">
        <v>95</v>
      </c>
    </row>
    <row r="57" spans="1:5" x14ac:dyDescent="0.35">
      <c r="A57" s="11" t="s">
        <v>125</v>
      </c>
      <c r="B57" t="s">
        <v>63</v>
      </c>
      <c r="C57">
        <v>68</v>
      </c>
      <c r="D57" t="s">
        <v>99</v>
      </c>
      <c r="E57" t="s">
        <v>100</v>
      </c>
    </row>
    <row r="58" spans="1:5" x14ac:dyDescent="0.35">
      <c r="A58" s="11" t="s">
        <v>125</v>
      </c>
      <c r="B58" t="s">
        <v>64</v>
      </c>
      <c r="C58">
        <v>68</v>
      </c>
      <c r="D58" t="s">
        <v>101</v>
      </c>
      <c r="E58" t="s">
        <v>100</v>
      </c>
    </row>
    <row r="59" spans="1:5" x14ac:dyDescent="0.35">
      <c r="A59" s="11" t="s">
        <v>125</v>
      </c>
      <c r="B59" t="s">
        <v>65</v>
      </c>
      <c r="C59">
        <v>122</v>
      </c>
      <c r="D59" t="s">
        <v>127</v>
      </c>
      <c r="E59" t="s">
        <v>103</v>
      </c>
    </row>
    <row r="60" spans="1:5" x14ac:dyDescent="0.35">
      <c r="A60" s="11" t="s">
        <v>125</v>
      </c>
      <c r="B60" t="s">
        <v>66</v>
      </c>
      <c r="C60">
        <v>68</v>
      </c>
      <c r="D60" t="s">
        <v>104</v>
      </c>
      <c r="E60" t="s">
        <v>100</v>
      </c>
    </row>
    <row r="61" spans="1:5" x14ac:dyDescent="0.35">
      <c r="A61" s="11" t="s">
        <v>125</v>
      </c>
      <c r="B61" t="s">
        <v>58</v>
      </c>
      <c r="C61">
        <v>40</v>
      </c>
      <c r="D61" t="s">
        <v>115</v>
      </c>
      <c r="E61" t="s">
        <v>116</v>
      </c>
    </row>
    <row r="62" spans="1:5" x14ac:dyDescent="0.35">
      <c r="A62" s="12" t="s">
        <v>129</v>
      </c>
      <c r="B62" t="s">
        <v>59</v>
      </c>
      <c r="C62">
        <v>197</v>
      </c>
      <c r="D62" t="s">
        <v>94</v>
      </c>
      <c r="E62" t="s">
        <v>95</v>
      </c>
    </row>
    <row r="63" spans="1:5" x14ac:dyDescent="0.35">
      <c r="A63" s="12" t="s">
        <v>129</v>
      </c>
      <c r="B63" t="s">
        <v>60</v>
      </c>
      <c r="C63">
        <v>197</v>
      </c>
      <c r="D63" t="s">
        <v>96</v>
      </c>
      <c r="E63" t="s">
        <v>95</v>
      </c>
    </row>
    <row r="64" spans="1:5" x14ac:dyDescent="0.35">
      <c r="A64" s="12" t="s">
        <v>129</v>
      </c>
      <c r="B64" t="s">
        <v>61</v>
      </c>
      <c r="C64">
        <v>197</v>
      </c>
      <c r="D64" t="s">
        <v>130</v>
      </c>
      <c r="E64" t="s">
        <v>95</v>
      </c>
    </row>
    <row r="65" spans="1:5" x14ac:dyDescent="0.35">
      <c r="A65" s="12" t="s">
        <v>129</v>
      </c>
      <c r="B65" t="s">
        <v>3</v>
      </c>
      <c r="C65">
        <v>197</v>
      </c>
      <c r="D65" t="s">
        <v>97</v>
      </c>
      <c r="E65" t="s">
        <v>95</v>
      </c>
    </row>
    <row r="66" spans="1:5" x14ac:dyDescent="0.35">
      <c r="A66" s="12" t="s">
        <v>129</v>
      </c>
      <c r="B66" t="s">
        <v>62</v>
      </c>
      <c r="C66">
        <v>197</v>
      </c>
      <c r="D66" t="s">
        <v>98</v>
      </c>
      <c r="E66" t="s">
        <v>95</v>
      </c>
    </row>
    <row r="67" spans="1:5" x14ac:dyDescent="0.35">
      <c r="A67" s="12" t="s">
        <v>129</v>
      </c>
      <c r="B67" t="s">
        <v>63</v>
      </c>
      <c r="C67">
        <v>198</v>
      </c>
      <c r="D67" t="s">
        <v>99</v>
      </c>
      <c r="E67" t="s">
        <v>100</v>
      </c>
    </row>
    <row r="68" spans="1:5" x14ac:dyDescent="0.35">
      <c r="A68" s="12" t="s">
        <v>129</v>
      </c>
      <c r="B68" t="s">
        <v>64</v>
      </c>
      <c r="C68">
        <v>198</v>
      </c>
      <c r="D68" t="s">
        <v>101</v>
      </c>
      <c r="E68" t="s">
        <v>100</v>
      </c>
    </row>
    <row r="69" spans="1:5" x14ac:dyDescent="0.35">
      <c r="A69" s="12" t="s">
        <v>129</v>
      </c>
      <c r="B69" t="s">
        <v>65</v>
      </c>
      <c r="C69">
        <v>237</v>
      </c>
      <c r="D69" t="s">
        <v>131</v>
      </c>
      <c r="E69" t="s">
        <v>103</v>
      </c>
    </row>
    <row r="70" spans="1:5" x14ac:dyDescent="0.35">
      <c r="A70" s="12" t="s">
        <v>129</v>
      </c>
      <c r="B70" t="s">
        <v>66</v>
      </c>
      <c r="C70">
        <v>198</v>
      </c>
      <c r="D70" t="s">
        <v>104</v>
      </c>
      <c r="E70" t="s">
        <v>100</v>
      </c>
    </row>
    <row r="71" spans="1:5" x14ac:dyDescent="0.35">
      <c r="A71" s="12" t="s">
        <v>129</v>
      </c>
      <c r="B71" t="s">
        <v>58</v>
      </c>
      <c r="C71">
        <v>20</v>
      </c>
      <c r="D71" t="s">
        <v>132</v>
      </c>
      <c r="E71" t="s">
        <v>133</v>
      </c>
    </row>
    <row r="72" spans="1:5" x14ac:dyDescent="0.35">
      <c r="A72" s="13" t="s">
        <v>134</v>
      </c>
      <c r="B72" t="s">
        <v>59</v>
      </c>
      <c r="C72">
        <v>201</v>
      </c>
      <c r="D72" t="s">
        <v>94</v>
      </c>
      <c r="E72" t="s">
        <v>95</v>
      </c>
    </row>
    <row r="73" spans="1:5" x14ac:dyDescent="0.35">
      <c r="A73" s="13" t="s">
        <v>134</v>
      </c>
      <c r="B73" t="s">
        <v>60</v>
      </c>
      <c r="C73">
        <v>201</v>
      </c>
      <c r="D73" t="s">
        <v>96</v>
      </c>
      <c r="E73" t="s">
        <v>95</v>
      </c>
    </row>
    <row r="74" spans="1:5" x14ac:dyDescent="0.35">
      <c r="A74" s="13" t="s">
        <v>134</v>
      </c>
      <c r="B74" t="s">
        <v>61</v>
      </c>
      <c r="C74">
        <v>201</v>
      </c>
      <c r="D74" t="s">
        <v>130</v>
      </c>
      <c r="E74" t="s">
        <v>95</v>
      </c>
    </row>
    <row r="75" spans="1:5" x14ac:dyDescent="0.35">
      <c r="A75" s="13" t="s">
        <v>134</v>
      </c>
      <c r="B75" t="s">
        <v>3</v>
      </c>
      <c r="C75">
        <v>201</v>
      </c>
      <c r="D75" t="s">
        <v>97</v>
      </c>
      <c r="E75" t="s">
        <v>95</v>
      </c>
    </row>
    <row r="76" spans="1:5" x14ac:dyDescent="0.35">
      <c r="A76" s="13" t="s">
        <v>134</v>
      </c>
      <c r="B76" t="s">
        <v>62</v>
      </c>
      <c r="C76">
        <v>201</v>
      </c>
      <c r="D76" t="s">
        <v>98</v>
      </c>
      <c r="E76" t="s">
        <v>95</v>
      </c>
    </row>
    <row r="77" spans="1:5" x14ac:dyDescent="0.35">
      <c r="A77" s="13" t="s">
        <v>134</v>
      </c>
      <c r="B77" t="s">
        <v>63</v>
      </c>
      <c r="C77">
        <v>202</v>
      </c>
      <c r="D77" t="s">
        <v>99</v>
      </c>
      <c r="E77" t="s">
        <v>100</v>
      </c>
    </row>
    <row r="78" spans="1:5" x14ac:dyDescent="0.35">
      <c r="A78" s="13" t="s">
        <v>134</v>
      </c>
      <c r="B78" t="s">
        <v>64</v>
      </c>
      <c r="C78">
        <v>202</v>
      </c>
      <c r="D78" t="s">
        <v>101</v>
      </c>
      <c r="E78" t="s">
        <v>100</v>
      </c>
    </row>
    <row r="79" spans="1:5" x14ac:dyDescent="0.35">
      <c r="A79" s="13" t="s">
        <v>134</v>
      </c>
      <c r="B79" t="s">
        <v>65</v>
      </c>
      <c r="C79">
        <v>241</v>
      </c>
      <c r="D79" t="s">
        <v>131</v>
      </c>
      <c r="E79" t="s">
        <v>103</v>
      </c>
    </row>
    <row r="80" spans="1:5" x14ac:dyDescent="0.35">
      <c r="A80" s="13" t="s">
        <v>134</v>
      </c>
      <c r="B80" t="s">
        <v>66</v>
      </c>
      <c r="C80">
        <v>202</v>
      </c>
      <c r="D80" t="s">
        <v>104</v>
      </c>
      <c r="E80" t="s">
        <v>100</v>
      </c>
    </row>
    <row r="81" spans="1:5" x14ac:dyDescent="0.35">
      <c r="A81" s="13" t="s">
        <v>134</v>
      </c>
      <c r="B81" t="s">
        <v>58</v>
      </c>
      <c r="C81">
        <v>22</v>
      </c>
      <c r="D81" t="s">
        <v>135</v>
      </c>
      <c r="E81" t="s">
        <v>133</v>
      </c>
    </row>
    <row r="82" spans="1:5" x14ac:dyDescent="0.35">
      <c r="A82" s="12" t="s">
        <v>136</v>
      </c>
      <c r="B82" t="s">
        <v>59</v>
      </c>
      <c r="C82">
        <v>203</v>
      </c>
      <c r="D82" t="s">
        <v>94</v>
      </c>
      <c r="E82" t="s">
        <v>95</v>
      </c>
    </row>
    <row r="83" spans="1:5" x14ac:dyDescent="0.35">
      <c r="A83" s="12" t="s">
        <v>136</v>
      </c>
      <c r="B83" t="s">
        <v>60</v>
      </c>
      <c r="C83">
        <v>203</v>
      </c>
      <c r="D83" t="s">
        <v>96</v>
      </c>
      <c r="E83" t="s">
        <v>95</v>
      </c>
    </row>
    <row r="84" spans="1:5" x14ac:dyDescent="0.35">
      <c r="A84" s="12" t="s">
        <v>136</v>
      </c>
      <c r="B84" t="s">
        <v>61</v>
      </c>
      <c r="C84">
        <v>203</v>
      </c>
      <c r="D84" t="s">
        <v>130</v>
      </c>
      <c r="E84" t="s">
        <v>95</v>
      </c>
    </row>
    <row r="85" spans="1:5" x14ac:dyDescent="0.35">
      <c r="A85" s="12" t="s">
        <v>136</v>
      </c>
      <c r="B85" t="s">
        <v>3</v>
      </c>
      <c r="C85">
        <v>203</v>
      </c>
      <c r="D85" t="s">
        <v>97</v>
      </c>
      <c r="E85" t="s">
        <v>95</v>
      </c>
    </row>
    <row r="86" spans="1:5" x14ac:dyDescent="0.35">
      <c r="A86" s="12" t="s">
        <v>136</v>
      </c>
      <c r="B86" t="s">
        <v>62</v>
      </c>
      <c r="C86">
        <v>203</v>
      </c>
      <c r="D86" t="s">
        <v>98</v>
      </c>
      <c r="E86" t="s">
        <v>95</v>
      </c>
    </row>
    <row r="87" spans="1:5" x14ac:dyDescent="0.35">
      <c r="A87" s="12" t="s">
        <v>136</v>
      </c>
      <c r="B87" t="s">
        <v>63</v>
      </c>
      <c r="C87">
        <v>204</v>
      </c>
      <c r="D87" t="s">
        <v>99</v>
      </c>
      <c r="E87" t="s">
        <v>100</v>
      </c>
    </row>
    <row r="88" spans="1:5" x14ac:dyDescent="0.35">
      <c r="A88" s="12" t="s">
        <v>136</v>
      </c>
      <c r="B88" t="s">
        <v>64</v>
      </c>
      <c r="C88">
        <v>204</v>
      </c>
      <c r="D88" t="s">
        <v>101</v>
      </c>
      <c r="E88" t="s">
        <v>100</v>
      </c>
    </row>
    <row r="89" spans="1:5" x14ac:dyDescent="0.35">
      <c r="A89" s="12" t="s">
        <v>136</v>
      </c>
      <c r="B89" t="s">
        <v>65</v>
      </c>
      <c r="C89">
        <v>242</v>
      </c>
      <c r="D89" t="s">
        <v>131</v>
      </c>
      <c r="E89" t="s">
        <v>103</v>
      </c>
    </row>
    <row r="90" spans="1:5" x14ac:dyDescent="0.35">
      <c r="A90" s="12" t="s">
        <v>136</v>
      </c>
      <c r="B90" t="s">
        <v>66</v>
      </c>
      <c r="C90">
        <v>204</v>
      </c>
      <c r="D90" t="s">
        <v>104</v>
      </c>
      <c r="E90" t="s">
        <v>100</v>
      </c>
    </row>
    <row r="91" spans="1:5" x14ac:dyDescent="0.35">
      <c r="A91" s="12" t="s">
        <v>136</v>
      </c>
      <c r="B91" t="s">
        <v>58</v>
      </c>
      <c r="C91">
        <v>24</v>
      </c>
      <c r="D91" t="s">
        <v>132</v>
      </c>
      <c r="E91" t="s">
        <v>133</v>
      </c>
    </row>
    <row r="92" spans="1:5" x14ac:dyDescent="0.35">
      <c r="A92" s="13" t="s">
        <v>137</v>
      </c>
      <c r="B92" t="s">
        <v>59</v>
      </c>
      <c r="C92">
        <v>283</v>
      </c>
      <c r="D92" t="s">
        <v>94</v>
      </c>
      <c r="E92" t="s">
        <v>95</v>
      </c>
    </row>
    <row r="93" spans="1:5" x14ac:dyDescent="0.35">
      <c r="A93" s="13" t="s">
        <v>137</v>
      </c>
      <c r="B93" t="s">
        <v>60</v>
      </c>
      <c r="C93">
        <v>283</v>
      </c>
      <c r="D93" t="s">
        <v>96</v>
      </c>
      <c r="E93" t="s">
        <v>95</v>
      </c>
    </row>
    <row r="94" spans="1:5" x14ac:dyDescent="0.35">
      <c r="A94" s="13" t="s">
        <v>137</v>
      </c>
      <c r="B94" t="s">
        <v>61</v>
      </c>
      <c r="C94">
        <v>283</v>
      </c>
      <c r="D94" t="s">
        <v>130</v>
      </c>
      <c r="E94" t="s">
        <v>95</v>
      </c>
    </row>
    <row r="95" spans="1:5" x14ac:dyDescent="0.35">
      <c r="A95" s="13" t="s">
        <v>137</v>
      </c>
      <c r="B95" t="s">
        <v>3</v>
      </c>
      <c r="C95">
        <v>283</v>
      </c>
      <c r="D95" t="s">
        <v>97</v>
      </c>
      <c r="E95" t="s">
        <v>95</v>
      </c>
    </row>
    <row r="96" spans="1:5" x14ac:dyDescent="0.35">
      <c r="A96" s="13" t="s">
        <v>137</v>
      </c>
      <c r="B96" t="s">
        <v>62</v>
      </c>
      <c r="C96">
        <v>283</v>
      </c>
      <c r="D96" t="s">
        <v>98</v>
      </c>
      <c r="E96" t="s">
        <v>95</v>
      </c>
    </row>
    <row r="97" spans="1:5" x14ac:dyDescent="0.35">
      <c r="A97" s="13" t="s">
        <v>137</v>
      </c>
      <c r="B97" t="s">
        <v>63</v>
      </c>
      <c r="C97">
        <v>284</v>
      </c>
      <c r="D97" t="s">
        <v>99</v>
      </c>
      <c r="E97" t="s">
        <v>100</v>
      </c>
    </row>
    <row r="98" spans="1:5" x14ac:dyDescent="0.35">
      <c r="A98" s="13" t="s">
        <v>137</v>
      </c>
      <c r="B98" t="s">
        <v>64</v>
      </c>
      <c r="C98">
        <v>284</v>
      </c>
      <c r="D98" t="s">
        <v>101</v>
      </c>
      <c r="E98" t="s">
        <v>100</v>
      </c>
    </row>
    <row r="99" spans="1:5" x14ac:dyDescent="0.35">
      <c r="A99" s="13" t="s">
        <v>137</v>
      </c>
      <c r="B99" t="s">
        <v>65</v>
      </c>
      <c r="C99">
        <v>325</v>
      </c>
      <c r="D99" t="s">
        <v>131</v>
      </c>
      <c r="E99" t="s">
        <v>103</v>
      </c>
    </row>
    <row r="100" spans="1:5" x14ac:dyDescent="0.35">
      <c r="A100" s="13" t="s">
        <v>137</v>
      </c>
      <c r="B100" t="s">
        <v>66</v>
      </c>
      <c r="C100">
        <v>284</v>
      </c>
      <c r="D100" t="s">
        <v>104</v>
      </c>
      <c r="E100" t="s">
        <v>100</v>
      </c>
    </row>
    <row r="101" spans="1:5" x14ac:dyDescent="0.35">
      <c r="A101" s="13" t="s">
        <v>137</v>
      </c>
      <c r="B101" t="s">
        <v>58</v>
      </c>
      <c r="C101">
        <v>24</v>
      </c>
      <c r="D101" t="s">
        <v>132</v>
      </c>
      <c r="E101" t="s">
        <v>133</v>
      </c>
    </row>
    <row r="102" spans="1:5" x14ac:dyDescent="0.35">
      <c r="A102" s="12" t="s">
        <v>138</v>
      </c>
      <c r="B102" t="s">
        <v>59</v>
      </c>
      <c r="C102">
        <v>284</v>
      </c>
      <c r="D102" t="s">
        <v>94</v>
      </c>
      <c r="E102" t="s">
        <v>95</v>
      </c>
    </row>
    <row r="103" spans="1:5" x14ac:dyDescent="0.35">
      <c r="A103" s="12" t="s">
        <v>138</v>
      </c>
      <c r="B103" t="s">
        <v>60</v>
      </c>
      <c r="C103">
        <v>284</v>
      </c>
      <c r="D103" t="s">
        <v>96</v>
      </c>
      <c r="E103" t="s">
        <v>95</v>
      </c>
    </row>
    <row r="104" spans="1:5" x14ac:dyDescent="0.35">
      <c r="A104" s="12" t="s">
        <v>138</v>
      </c>
      <c r="B104" t="s">
        <v>61</v>
      </c>
      <c r="C104">
        <v>284</v>
      </c>
      <c r="D104" t="s">
        <v>130</v>
      </c>
      <c r="E104" t="s">
        <v>95</v>
      </c>
    </row>
    <row r="105" spans="1:5" x14ac:dyDescent="0.35">
      <c r="A105" s="12" t="s">
        <v>138</v>
      </c>
      <c r="B105" t="s">
        <v>3</v>
      </c>
      <c r="C105">
        <v>284</v>
      </c>
      <c r="D105" t="s">
        <v>97</v>
      </c>
      <c r="E105" t="s">
        <v>95</v>
      </c>
    </row>
    <row r="106" spans="1:5" x14ac:dyDescent="0.35">
      <c r="A106" s="12" t="s">
        <v>138</v>
      </c>
      <c r="B106" t="s">
        <v>62</v>
      </c>
      <c r="C106">
        <v>284</v>
      </c>
      <c r="D106" t="s">
        <v>98</v>
      </c>
      <c r="E106" t="s">
        <v>95</v>
      </c>
    </row>
    <row r="107" spans="1:5" x14ac:dyDescent="0.35">
      <c r="A107" s="12" t="s">
        <v>138</v>
      </c>
      <c r="B107" t="s">
        <v>63</v>
      </c>
      <c r="C107">
        <v>285</v>
      </c>
      <c r="D107" t="s">
        <v>99</v>
      </c>
      <c r="E107" t="s">
        <v>100</v>
      </c>
    </row>
    <row r="108" spans="1:5" x14ac:dyDescent="0.35">
      <c r="A108" s="12" t="s">
        <v>138</v>
      </c>
      <c r="B108" t="s">
        <v>64</v>
      </c>
      <c r="C108">
        <v>285</v>
      </c>
      <c r="D108" t="s">
        <v>101</v>
      </c>
      <c r="E108" t="s">
        <v>100</v>
      </c>
    </row>
    <row r="109" spans="1:5" x14ac:dyDescent="0.35">
      <c r="A109" s="12" t="s">
        <v>138</v>
      </c>
      <c r="B109" t="s">
        <v>65</v>
      </c>
      <c r="C109">
        <v>325</v>
      </c>
      <c r="D109" t="s">
        <v>131</v>
      </c>
      <c r="E109" t="s">
        <v>103</v>
      </c>
    </row>
    <row r="110" spans="1:5" x14ac:dyDescent="0.35">
      <c r="A110" s="12" t="s">
        <v>138</v>
      </c>
      <c r="B110" t="s">
        <v>66</v>
      </c>
      <c r="C110">
        <v>285</v>
      </c>
      <c r="D110" t="s">
        <v>104</v>
      </c>
      <c r="E110" t="s">
        <v>100</v>
      </c>
    </row>
    <row r="111" spans="1:5" x14ac:dyDescent="0.35">
      <c r="A111" s="12" t="s">
        <v>138</v>
      </c>
      <c r="B111" t="s">
        <v>58</v>
      </c>
      <c r="C111">
        <v>28</v>
      </c>
      <c r="D111" t="s">
        <v>132</v>
      </c>
      <c r="E111" t="s">
        <v>133</v>
      </c>
    </row>
    <row r="112" spans="1:5" x14ac:dyDescent="0.35">
      <c r="A112" s="13" t="s">
        <v>139</v>
      </c>
      <c r="B112" t="s">
        <v>59</v>
      </c>
      <c r="C112">
        <v>298</v>
      </c>
      <c r="D112" t="s">
        <v>94</v>
      </c>
      <c r="E112" t="s">
        <v>95</v>
      </c>
    </row>
    <row r="113" spans="1:5" x14ac:dyDescent="0.35">
      <c r="A113" s="13" t="s">
        <v>139</v>
      </c>
      <c r="B113" t="s">
        <v>60</v>
      </c>
      <c r="C113">
        <v>298</v>
      </c>
      <c r="D113" t="s">
        <v>96</v>
      </c>
      <c r="E113" t="s">
        <v>95</v>
      </c>
    </row>
    <row r="114" spans="1:5" x14ac:dyDescent="0.35">
      <c r="A114" s="13" t="s">
        <v>139</v>
      </c>
      <c r="B114" t="s">
        <v>61</v>
      </c>
      <c r="C114">
        <v>298</v>
      </c>
      <c r="D114" t="s">
        <v>130</v>
      </c>
      <c r="E114" t="s">
        <v>95</v>
      </c>
    </row>
    <row r="115" spans="1:5" x14ac:dyDescent="0.35">
      <c r="A115" s="13" t="s">
        <v>139</v>
      </c>
      <c r="B115" t="s">
        <v>3</v>
      </c>
      <c r="C115">
        <v>298</v>
      </c>
      <c r="D115" t="s">
        <v>97</v>
      </c>
      <c r="E115" t="s">
        <v>95</v>
      </c>
    </row>
    <row r="116" spans="1:5" x14ac:dyDescent="0.35">
      <c r="A116" s="13" t="s">
        <v>139</v>
      </c>
      <c r="B116" t="s">
        <v>62</v>
      </c>
      <c r="C116">
        <v>298</v>
      </c>
      <c r="D116" t="s">
        <v>98</v>
      </c>
      <c r="E116" t="s">
        <v>95</v>
      </c>
    </row>
    <row r="117" spans="1:5" x14ac:dyDescent="0.35">
      <c r="A117" s="13" t="s">
        <v>139</v>
      </c>
      <c r="B117" t="s">
        <v>63</v>
      </c>
      <c r="C117">
        <v>299</v>
      </c>
      <c r="D117" t="s">
        <v>99</v>
      </c>
      <c r="E117" t="s">
        <v>100</v>
      </c>
    </row>
    <row r="118" spans="1:5" x14ac:dyDescent="0.35">
      <c r="A118" s="13" t="s">
        <v>139</v>
      </c>
      <c r="B118" t="s">
        <v>64</v>
      </c>
      <c r="C118">
        <v>299</v>
      </c>
      <c r="D118" t="s">
        <v>101</v>
      </c>
      <c r="E118" t="s">
        <v>100</v>
      </c>
    </row>
    <row r="119" spans="1:5" x14ac:dyDescent="0.35">
      <c r="A119" s="13" t="s">
        <v>139</v>
      </c>
      <c r="B119" t="s">
        <v>65</v>
      </c>
      <c r="C119">
        <v>342</v>
      </c>
      <c r="D119" t="s">
        <v>140</v>
      </c>
      <c r="E119" t="s">
        <v>103</v>
      </c>
    </row>
    <row r="120" spans="1:5" x14ac:dyDescent="0.35">
      <c r="A120" s="13" t="s">
        <v>139</v>
      </c>
      <c r="B120" t="s">
        <v>66</v>
      </c>
      <c r="C120">
        <v>299</v>
      </c>
      <c r="D120" t="s">
        <v>104</v>
      </c>
      <c r="E120" t="s">
        <v>100</v>
      </c>
    </row>
    <row r="121" spans="1:5" x14ac:dyDescent="0.35">
      <c r="A121" s="13" t="s">
        <v>139</v>
      </c>
      <c r="B121" t="s">
        <v>58</v>
      </c>
      <c r="C121">
        <v>27</v>
      </c>
      <c r="D121" t="s">
        <v>132</v>
      </c>
      <c r="E121" t="s">
        <v>133</v>
      </c>
    </row>
    <row r="122" spans="1:5" x14ac:dyDescent="0.35">
      <c r="A122" s="10"/>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Ratios</vt:lpstr>
      <vt:lpstr>Descriptive Statistics</vt:lpstr>
      <vt:lpstr>Trend Chart</vt:lpstr>
      <vt:lpstr>Comparison Charts</vt:lpstr>
      <vt:lpstr>Distribution Charts</vt:lpstr>
      <vt:lpstr>Comparitive Analysis</vt:lpstr>
      <vt:lpstr>Staff Comparison</vt:lpstr>
      <vt:lpstr>Variable Dictionary</vt:lpstr>
      <vt:lpstr>Literature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TAYYAB LATIF</dc:creator>
  <cp:lastModifiedBy>MUHAMMAD TAYYAB LATIF</cp:lastModifiedBy>
  <dcterms:created xsi:type="dcterms:W3CDTF">2026-07-03T09:51:43Z</dcterms:created>
  <dcterms:modified xsi:type="dcterms:W3CDTF">2026-07-04T23:56:56Z</dcterms:modified>
</cp:coreProperties>
</file>